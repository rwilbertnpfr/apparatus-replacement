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70" authorId="0">
      <text>
        <r>
          <rPr>
            <sz val="10"/>
            <rFont val="Arial"/>
            <family val="2"/>
          </rPr>
          <t xml:space="preserve">Data flag: Replacement Year is earlier than In-Service Year. Verify this entry.</t>
        </r>
      </text>
    </comment>
  </commentList>
</comments>
</file>

<file path=xl/sharedStrings.xml><?xml version="1.0" encoding="utf-8"?>
<sst xmlns="http://schemas.openxmlformats.org/spreadsheetml/2006/main" count="303" uniqueCount="82">
  <si>
    <t xml:space="preserve">NPFR FLEET &amp; EQUIPMENT — REPLACEMENT DATA</t>
  </si>
  <si>
    <t xml:space="preserve">ESCALATOR ASSUMPTIONS</t>
  </si>
  <si>
    <t xml:space="preserve">CID#</t>
  </si>
  <si>
    <t xml:space="preserve">UNIT IDENTIFIER</t>
  </si>
  <si>
    <t xml:space="preserve">VEHICLE TYPE</t>
  </si>
  <si>
    <t xml:space="preserve">ITEM TYPE</t>
  </si>
  <si>
    <t xml:space="preserve">IN-SERVICE YEAR</t>
  </si>
  <si>
    <t xml:space="preserve">ORIGINAL COST</t>
  </si>
  <si>
    <t xml:space="preserve">REPLACEMENT YEAR</t>
  </si>
  <si>
    <t xml:space="preserve">YEARS TO REPLACEMENT</t>
  </si>
  <si>
    <t xml:space="preserve">ESCALATOR %</t>
  </si>
  <si>
    <t xml:space="preserve">REPLACEMENT COST</t>
  </si>
  <si>
    <t xml:space="preserve">VEHICLE ESC.</t>
  </si>
  <si>
    <t xml:space="preserve">EQUIPMENT ESC.</t>
  </si>
  <si>
    <t xml:space="preserve">74523</t>
  </si>
  <si>
    <t xml:space="preserve">E81</t>
  </si>
  <si>
    <t xml:space="preserve">Engine</t>
  </si>
  <si>
    <t xml:space="preserve">Vehicle</t>
  </si>
  <si>
    <t xml:space="preserve">Equipment</t>
  </si>
  <si>
    <t xml:space="preserve">Aerial</t>
  </si>
  <si>
    <t xml:space="preserve">73408</t>
  </si>
  <si>
    <t xml:space="preserve">E83</t>
  </si>
  <si>
    <t xml:space="preserve">Rescue</t>
  </si>
  <si>
    <t xml:space="preserve">Staff</t>
  </si>
  <si>
    <t xml:space="preserve">NEW</t>
  </si>
  <si>
    <t xml:space="preserve">E85</t>
  </si>
  <si>
    <t xml:space="preserve">E87</t>
  </si>
  <si>
    <t xml:space="preserve">E88</t>
  </si>
  <si>
    <t xml:space="preserve">73389</t>
  </si>
  <si>
    <t xml:space="preserve">T81</t>
  </si>
  <si>
    <t xml:space="preserve">73229</t>
  </si>
  <si>
    <t xml:space="preserve">TRK82</t>
  </si>
  <si>
    <t xml:space="preserve">TRK84</t>
  </si>
  <si>
    <t xml:space="preserve">73601</t>
  </si>
  <si>
    <t xml:space="preserve">TRK86</t>
  </si>
  <si>
    <t xml:space="preserve">74483</t>
  </si>
  <si>
    <t xml:space="preserve">R80</t>
  </si>
  <si>
    <t xml:space="preserve">74832</t>
  </si>
  <si>
    <t xml:space="preserve">R81</t>
  </si>
  <si>
    <t xml:space="preserve">74750</t>
  </si>
  <si>
    <t xml:space="preserve">R82</t>
  </si>
  <si>
    <t xml:space="preserve">73268</t>
  </si>
  <si>
    <t xml:space="preserve">R83</t>
  </si>
  <si>
    <t xml:space="preserve">74754</t>
  </si>
  <si>
    <t xml:space="preserve">R84</t>
  </si>
  <si>
    <t xml:space="preserve">74859</t>
  </si>
  <si>
    <t xml:space="preserve">R85</t>
  </si>
  <si>
    <t xml:space="preserve">74860</t>
  </si>
  <si>
    <t xml:space="preserve">R86</t>
  </si>
  <si>
    <t xml:space="preserve">74982</t>
  </si>
  <si>
    <t xml:space="preserve">R87</t>
  </si>
  <si>
    <t xml:space="preserve">R88</t>
  </si>
  <si>
    <t xml:space="preserve">73292</t>
  </si>
  <si>
    <t xml:space="preserve">NPF1 (Titus)</t>
  </si>
  <si>
    <t xml:space="preserve">73867</t>
  </si>
  <si>
    <t xml:space="preserve">NPF2 (Lane)</t>
  </si>
  <si>
    <t xml:space="preserve">73337</t>
  </si>
  <si>
    <t xml:space="preserve">NPF3 (Herlihy)</t>
  </si>
  <si>
    <t xml:space="preserve">73164</t>
  </si>
  <si>
    <t xml:space="preserve">NPF4 (Marretti)</t>
  </si>
  <si>
    <t xml:space="preserve">73993</t>
  </si>
  <si>
    <t xml:space="preserve">NPF5 (Satterly)</t>
  </si>
  <si>
    <t xml:space="preserve">73439</t>
  </si>
  <si>
    <t xml:space="preserve">NPF6 (Wolbers)</t>
  </si>
  <si>
    <t xml:space="preserve">73858</t>
  </si>
  <si>
    <t xml:space="preserve">NPF7 (Inlow)</t>
  </si>
  <si>
    <t xml:space="preserve">NPF8 (Hawes)</t>
  </si>
  <si>
    <t xml:space="preserve">73336</t>
  </si>
  <si>
    <t xml:space="preserve">NPF16 (Wilbert)</t>
  </si>
  <si>
    <t xml:space="preserve">NPF17 (Jekonski)</t>
  </si>
  <si>
    <t xml:space="preserve">73165</t>
  </si>
  <si>
    <t xml:space="preserve">NPF-18 (Sousa)</t>
  </si>
  <si>
    <t xml:space="preserve">73647</t>
  </si>
  <si>
    <t xml:space="preserve">DC1</t>
  </si>
  <si>
    <t xml:space="preserve">73697</t>
  </si>
  <si>
    <t xml:space="preserve">DC2</t>
  </si>
  <si>
    <t xml:space="preserve">74012</t>
  </si>
  <si>
    <t xml:space="preserve">DC3</t>
  </si>
  <si>
    <t xml:space="preserve">72936</t>
  </si>
  <si>
    <t xml:space="preserve">Logistics Van</t>
  </si>
  <si>
    <t xml:space="preserve">74886</t>
  </si>
  <si>
    <t xml:space="preserve">Trades Worker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</si>
</sst>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;&quot;($&quot;#,##0\);\-"/>
    <numFmt numFmtId="166" formatCode="General"/>
    <numFmt numFmtId="167" formatCode="0.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4A0A0C"/>
      <name val="Calibri"/>
      <family val="0"/>
      <charset val="1"/>
    </font>
    <font>
      <b val="true"/>
      <sz val="11"/>
      <color rgb="FF4A0A0C"/>
      <name val="Calibri"/>
      <family val="0"/>
      <charset val="1"/>
    </font>
    <font>
      <b val="true"/>
      <sz val="9"/>
      <color rgb="FFF5E6C8"/>
      <name val="Calibri"/>
      <family val="0"/>
      <charset val="1"/>
    </font>
    <font>
      <sz val="9"/>
      <color rgb="FF0000FF"/>
      <name val="Calibri"/>
      <family val="0"/>
      <charset val="1"/>
    </font>
    <font>
      <b val="true"/>
      <sz val="9"/>
      <color rgb="FF0000FF"/>
      <name val="Calibri"/>
      <family val="0"/>
      <charset val="1"/>
    </font>
    <font>
      <sz val="9"/>
      <color rgb="FF000000"/>
      <name val="Calibri"/>
      <family val="0"/>
      <charset val="1"/>
    </font>
    <font>
      <b val="true"/>
      <sz val="9"/>
      <color rgb="FF000000"/>
      <name val="Calibri"/>
      <family val="0"/>
      <charset val="1"/>
    </font>
    <font>
      <b val="true"/>
      <sz val="9"/>
      <color rgb="FFB71C1C"/>
      <name val="Calibri"/>
      <family val="0"/>
      <charset val="1"/>
    </font>
    <font>
      <i val="true"/>
      <sz val="9"/>
      <color rgb="FF000000"/>
      <name val="Calibri"/>
      <family val="0"/>
      <charset val="1"/>
    </font>
    <font>
      <b val="true"/>
      <sz val="9"/>
      <color rgb="FFE65100"/>
      <name val="Calibri"/>
      <family val="0"/>
      <charset val="1"/>
    </font>
    <font>
      <b val="true"/>
      <sz val="9"/>
      <color rgb="FF6A1B9A"/>
      <name val="Calibri"/>
      <family val="0"/>
      <charset val="1"/>
    </font>
    <font>
      <b val="true"/>
      <sz val="9"/>
      <color rgb="FF1565C0"/>
      <name val="Calibri"/>
      <family val="0"/>
      <charset val="1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4A0A0C"/>
        <bgColor rgb="FF7B1416"/>
      </patternFill>
    </fill>
    <fill>
      <patternFill patternType="solid">
        <fgColor rgb="FFC8A040"/>
        <bgColor rgb="FF969696"/>
      </patternFill>
    </fill>
    <fill>
      <patternFill patternType="solid">
        <fgColor rgb="FF7B1416"/>
        <bgColor rgb="FF4A0A0C"/>
      </patternFill>
    </fill>
    <fill>
      <patternFill patternType="solid">
        <fgColor rgb="FFFFF5E6"/>
        <bgColor rgb="FFFAEBD7"/>
      </patternFill>
    </fill>
    <fill>
      <patternFill patternType="solid">
        <fgColor rgb="FFFAEBD7"/>
        <bgColor rgb="FFFBE5D9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8A040"/>
      </left>
      <right style="thin">
        <color rgb="FFC8A040"/>
      </right>
      <top style="thin">
        <color rgb="FFC8A040"/>
      </top>
      <bottom style="thin">
        <color rgb="FFC8A04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7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7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7B1416"/>
          <bgColor rgb="FF000000"/>
        </patternFill>
      </fill>
    </dxf>
    <dxf>
      <fill>
        <patternFill patternType="solid">
          <fgColor rgb="FFDCE8F6"/>
          <bgColor rgb="FF000000"/>
        </patternFill>
      </fill>
    </dxf>
    <dxf>
      <fill>
        <patternFill patternType="solid">
          <fgColor rgb="FFE9DDF0"/>
          <bgColor rgb="FF000000"/>
        </patternFill>
      </fill>
    </dxf>
    <dxf>
      <fill>
        <patternFill patternType="solid">
          <fgColor rgb="FFF4DDDD"/>
          <bgColor rgb="FF000000"/>
        </patternFill>
      </fill>
    </dxf>
    <dxf>
      <fill>
        <patternFill patternType="solid">
          <fgColor rgb="FFFBE5D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5E6C8"/>
          <bgColor rgb="FF000000"/>
        </patternFill>
      </fill>
    </dxf>
    <dxf>
      <fill>
        <patternFill>
          <bgColor rgb="FFF4DDDD"/>
        </patternFill>
      </fill>
    </dxf>
    <dxf>
      <fill>
        <patternFill>
          <bgColor rgb="FFFBE5D9"/>
        </patternFill>
      </fill>
    </dxf>
    <dxf>
      <fill>
        <patternFill>
          <bgColor rgb="FFE9DDF0"/>
        </patternFill>
      </fill>
    </dxf>
    <dxf>
      <fill>
        <patternFill>
          <bgColor rgb="FFDCE8F6"/>
        </patternFill>
      </fill>
    </dxf>
  </dxfs>
  <colors>
    <indexedColors>
      <rgbColor rgb="FF000000"/>
      <rgbColor rgb="FFFFF5E6"/>
      <rgbColor rgb="FFFF0000"/>
      <rgbColor rgb="FF00FF00"/>
      <rgbColor rgb="FF0000FF"/>
      <rgbColor rgb="FFFFFF00"/>
      <rgbColor rgb="FFFF00FF"/>
      <rgbColor rgb="FF00FFFF"/>
      <rgbColor rgb="FF7B1416"/>
      <rgbColor rgb="FF008000"/>
      <rgbColor rgb="FF000080"/>
      <rgbColor rgb="FF808000"/>
      <rgbColor rgb="FF6A1B9A"/>
      <rgbColor rgb="FF008080"/>
      <rgbColor rgb="FFC0C0C0"/>
      <rgbColor rgb="FF808080"/>
      <rgbColor rgb="FF9999FF"/>
      <rgbColor rgb="FF993366"/>
      <rgbColor rgb="FFFAEBD7"/>
      <rgbColor rgb="FFDCE8F6"/>
      <rgbColor rgb="FF660066"/>
      <rgbColor rgb="FFFF8080"/>
      <rgbColor rgb="FF1565C0"/>
      <rgbColor rgb="FFE9DDF0"/>
      <rgbColor rgb="FF000080"/>
      <rgbColor rgb="FFFF00FF"/>
      <rgbColor rgb="FFFFFF00"/>
      <rgbColor rgb="FF00FFFF"/>
      <rgbColor rgb="FF800080"/>
      <rgbColor rgb="FF4A0A0C"/>
      <rgbColor rgb="FF008080"/>
      <rgbColor rgb="FF0000FF"/>
      <rgbColor rgb="FF00CCFF"/>
      <rgbColor rgb="FFCCFFFF"/>
      <rgbColor rgb="FFFBE5D9"/>
      <rgbColor rgb="FFF5E6C8"/>
      <rgbColor rgb="FF99CCFF"/>
      <rgbColor rgb="FFFF99CC"/>
      <rgbColor rgb="FFCC99FF"/>
      <rgbColor rgb="FFF4DDDD"/>
      <rgbColor rgb="FF3366FF"/>
      <rgbColor rgb="FF33CCCC"/>
      <rgbColor rgb="FF99CC00"/>
      <rgbColor rgb="FFFFCC00"/>
      <rgbColor rgb="FFC8A040"/>
      <rgbColor rgb="FFE65100"/>
      <rgbColor rgb="FF666699"/>
      <rgbColor rgb="FF969696"/>
      <rgbColor rgb="FF003366"/>
      <rgbColor rgb="FF339966"/>
      <rgbColor rgb="FF003300"/>
      <rgbColor rgb="FF333300"/>
      <rgbColor rgb="FFB71C1C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FleetData" displayName="FleetData" ref="A3:J83" headerRowCount="1" totalsRowCount="0" totalsRowShown="0">
  <autoFilter ref="A3:J83"/>
  <tableColumns count="10">
    <tableColumn id="1" name="CID#"/>
    <tableColumn id="2" name="UNIT IDENTIFIER"/>
    <tableColumn id="3" name="VEHICLE TYPE"/>
    <tableColumn id="4" name="ITEM TYPE"/>
    <tableColumn id="5" name="IN-SERVICE YEAR"/>
    <tableColumn id="6" name="ORIGINAL COST"/>
    <tableColumn id="7" name="REPLACEMENT YEAR"/>
    <tableColumn id="8" name="YEARS TO REPLACEMENT"/>
    <tableColumn id="9" name="ESCALATOR %"/>
    <tableColumn id="10" name="REPLACEMENT COST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3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A040"/>
    <pageSetUpPr fitToPage="false"/>
  </sheetPr>
  <dimension ref="A1:O8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7" min="6" style="0" width="15"/>
    <col collapsed="false" customWidth="true" hidden="false" outlineLevel="0" max="8" min="8" style="0" width="16"/>
    <col collapsed="false" customWidth="true" hidden="false" outlineLevel="0" max="9" min="9" style="0" width="12"/>
    <col collapsed="false" customWidth="true" hidden="false" outlineLevel="0" max="10" min="10" style="0" width="18"/>
    <col collapsed="false" customWidth="true" hidden="false" outlineLevel="0" max="12" min="12" style="0" width="2"/>
    <col collapsed="false" customWidth="true" hidden="false" outlineLevel="0" max="13" min="13" style="0" width="12"/>
    <col collapsed="false" customWidth="true" hidden="false" outlineLevel="0" max="14" min="14" style="0" width="14"/>
    <col collapsed="false" customWidth="true" hidden="false" outlineLevel="0" max="15" min="15" style="0" width="16"/>
  </cols>
  <sheetData>
    <row r="1" customFormat="false" ht="6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24" hidden="false" customHeight="true" outlineLevel="0" collapsed="false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M2" s="3" t="s">
        <v>1</v>
      </c>
      <c r="N2" s="3"/>
      <c r="O2" s="3"/>
    </row>
    <row r="3" customFormat="false" ht="30" hidden="false" customHeight="true" outlineLevel="0" collapsed="false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M3" s="5" t="s">
        <v>4</v>
      </c>
      <c r="N3" s="5" t="s">
        <v>12</v>
      </c>
      <c r="O3" s="5" t="s">
        <v>13</v>
      </c>
    </row>
    <row r="4" customFormat="false" ht="15" hidden="false" customHeight="false" outlineLevel="0" collapsed="false">
      <c r="A4" s="6" t="s">
        <v>14</v>
      </c>
      <c r="B4" s="6" t="s">
        <v>15</v>
      </c>
      <c r="C4" s="7" t="s">
        <v>16</v>
      </c>
      <c r="D4" s="8" t="s">
        <v>17</v>
      </c>
      <c r="E4" s="9" t="n">
        <v>2024</v>
      </c>
      <c r="F4" s="10" t="n">
        <v>743872</v>
      </c>
      <c r="G4" s="9" t="n">
        <v>2034</v>
      </c>
      <c r="H4" s="11" t="n">
        <f aca="false">IF(AND(ISNUMBER(E4),ISNUMBER(G4)),G4-E4,"")</f>
        <v>10</v>
      </c>
      <c r="I4" s="12" t="n">
        <f aca="false">IFERROR(IF(D4="Vehicle",INDEX($N$4:$N$7,MATCH(C4,$M$4:$M$7,0)),INDEX($O$4:$O$7,MATCH(C4,$M$4:$M$7,0))),"")</f>
        <v>0.11</v>
      </c>
      <c r="J4" s="13" t="n">
        <f aca="false">IFERROR(F4*(1+I4)^H4,"")</f>
        <v>2112165.76774913</v>
      </c>
      <c r="M4" s="14" t="s">
        <v>16</v>
      </c>
      <c r="N4" s="15" t="n">
        <v>0.11</v>
      </c>
      <c r="O4" s="15" t="n">
        <v>0.06</v>
      </c>
    </row>
    <row r="5" customFormat="false" ht="15" hidden="false" customHeight="false" outlineLevel="0" collapsed="false">
      <c r="A5" s="6" t="s">
        <v>14</v>
      </c>
      <c r="B5" s="6" t="s">
        <v>15</v>
      </c>
      <c r="C5" s="7" t="s">
        <v>16</v>
      </c>
      <c r="D5" s="16" t="s">
        <v>18</v>
      </c>
      <c r="E5" s="9" t="n">
        <v>2024</v>
      </c>
      <c r="F5" s="10" t="n">
        <v>435000</v>
      </c>
      <c r="G5" s="9" t="n">
        <v>2034</v>
      </c>
      <c r="H5" s="11" t="n">
        <f aca="false">IF(AND(ISNUMBER(E5),ISNUMBER(G5)),G5-E5,"")</f>
        <v>10</v>
      </c>
      <c r="I5" s="12" t="n">
        <f aca="false">IFERROR(IF(D5="Vehicle",INDEX($N$4:$N$7,MATCH(C5,$M$4:$M$7,0)),INDEX($O$4:$O$7,MATCH(C5,$M$4:$M$7,0))),"")</f>
        <v>0.06</v>
      </c>
      <c r="J5" s="17" t="n">
        <f aca="false">IFERROR(F5*(1+I5)^H5,"")</f>
        <v>779018.747996142</v>
      </c>
      <c r="M5" s="18" t="s">
        <v>19</v>
      </c>
      <c r="N5" s="19" t="n">
        <v>0.11</v>
      </c>
      <c r="O5" s="19" t="n">
        <v>0.06</v>
      </c>
    </row>
    <row r="6" customFormat="false" ht="15" hidden="false" customHeight="false" outlineLevel="0" collapsed="false">
      <c r="A6" s="6" t="s">
        <v>20</v>
      </c>
      <c r="B6" s="6" t="s">
        <v>21</v>
      </c>
      <c r="C6" s="7" t="s">
        <v>16</v>
      </c>
      <c r="D6" s="8" t="s">
        <v>17</v>
      </c>
      <c r="E6" s="9" t="n">
        <v>2020</v>
      </c>
      <c r="F6" s="10" t="n">
        <v>622878</v>
      </c>
      <c r="G6" s="9" t="n">
        <v>2030</v>
      </c>
      <c r="H6" s="11" t="n">
        <f aca="false">IF(AND(ISNUMBER(E6),ISNUMBER(G6)),G6-E6,"")</f>
        <v>10</v>
      </c>
      <c r="I6" s="12" t="n">
        <f aca="false">IFERROR(IF(D6="Vehicle",INDEX($N$4:$N$7,MATCH(C6,$M$4:$M$7,0)),INDEX($O$4:$O$7,MATCH(C6,$M$4:$M$7,0))),"")</f>
        <v>0.11</v>
      </c>
      <c r="J6" s="13" t="n">
        <f aca="false">IFERROR(F6*(1+I6)^H6,"")</f>
        <v>1768612.8649607</v>
      </c>
      <c r="M6" s="20" t="s">
        <v>22</v>
      </c>
      <c r="N6" s="15" t="n">
        <v>0.08</v>
      </c>
      <c r="O6" s="15" t="n">
        <v>0.06</v>
      </c>
    </row>
    <row r="7" customFormat="false" ht="15" hidden="false" customHeight="false" outlineLevel="0" collapsed="false">
      <c r="A7" s="6" t="s">
        <v>20</v>
      </c>
      <c r="B7" s="6" t="s">
        <v>21</v>
      </c>
      <c r="C7" s="7" t="s">
        <v>16</v>
      </c>
      <c r="D7" s="16" t="s">
        <v>18</v>
      </c>
      <c r="E7" s="9" t="n">
        <v>2020</v>
      </c>
      <c r="F7" s="10" t="n">
        <v>250000</v>
      </c>
      <c r="G7" s="9" t="n">
        <v>2030</v>
      </c>
      <c r="H7" s="11" t="n">
        <f aca="false">IF(AND(ISNUMBER(E7),ISNUMBER(G7)),G7-E7,"")</f>
        <v>10</v>
      </c>
      <c r="I7" s="12" t="n">
        <f aca="false">IFERROR(IF(D7="Vehicle",INDEX($N$4:$N$7,MATCH(C7,$M$4:$M$7,0)),INDEX($O$4:$O$7,MATCH(C7,$M$4:$M$7,0))),"")</f>
        <v>0.06</v>
      </c>
      <c r="J7" s="17" t="n">
        <f aca="false">IFERROR(F7*(1+I7)^H7,"")</f>
        <v>447711.924135714</v>
      </c>
      <c r="M7" s="21" t="s">
        <v>23</v>
      </c>
      <c r="N7" s="19" t="n">
        <v>0.08</v>
      </c>
      <c r="O7" s="19" t="n">
        <v>0.06</v>
      </c>
    </row>
    <row r="8" customFormat="false" ht="15" hidden="false" customHeight="false" outlineLevel="0" collapsed="false">
      <c r="A8" s="6" t="s">
        <v>24</v>
      </c>
      <c r="B8" s="6" t="s">
        <v>25</v>
      </c>
      <c r="C8" s="7" t="s">
        <v>16</v>
      </c>
      <c r="D8" s="8" t="s">
        <v>17</v>
      </c>
      <c r="E8" s="9" t="n">
        <v>2026</v>
      </c>
      <c r="F8" s="10" t="n">
        <v>1077017</v>
      </c>
      <c r="G8" s="9" t="n">
        <v>2036</v>
      </c>
      <c r="H8" s="11" t="n">
        <f aca="false">IF(AND(ISNUMBER(E8),ISNUMBER(G8)),G8-E8,"")</f>
        <v>10</v>
      </c>
      <c r="I8" s="12" t="n">
        <f aca="false">IFERROR(IF(D8="Vehicle",INDEX($N$4:$N$7,MATCH(C8,$M$4:$M$7,0)),INDEX($O$4:$O$7,MATCH(C8,$M$4:$M$7,0))),"")</f>
        <v>0.11</v>
      </c>
      <c r="J8" s="13" t="n">
        <f aca="false">IFERROR(F8*(1+I8)^H8,"")</f>
        <v>3058104.6721531</v>
      </c>
    </row>
    <row r="9" customFormat="false" ht="15" hidden="false" customHeight="false" outlineLevel="0" collapsed="false">
      <c r="A9" s="6" t="s">
        <v>24</v>
      </c>
      <c r="B9" s="6" t="s">
        <v>25</v>
      </c>
      <c r="C9" s="7" t="s">
        <v>16</v>
      </c>
      <c r="D9" s="16" t="s">
        <v>18</v>
      </c>
      <c r="E9" s="9" t="n">
        <v>2026</v>
      </c>
      <c r="F9" s="10" t="n">
        <v>355000</v>
      </c>
      <c r="G9" s="9" t="n">
        <v>2036</v>
      </c>
      <c r="H9" s="11" t="n">
        <f aca="false">IF(AND(ISNUMBER(E9),ISNUMBER(G9)),G9-E9,"")</f>
        <v>10</v>
      </c>
      <c r="I9" s="12" t="n">
        <f aca="false">IFERROR(IF(D9="Vehicle",INDEX($N$4:$N$7,MATCH(C9,$M$4:$M$7,0)),INDEX($O$4:$O$7,MATCH(C9,$M$4:$M$7,0))),"")</f>
        <v>0.06</v>
      </c>
      <c r="J9" s="17" t="n">
        <f aca="false">IFERROR(F9*(1+I9)^H9,"")</f>
        <v>635750.932272713</v>
      </c>
    </row>
    <row r="10" customFormat="false" ht="15" hidden="false" customHeight="false" outlineLevel="0" collapsed="false">
      <c r="A10" s="6" t="s">
        <v>24</v>
      </c>
      <c r="B10" s="6" t="s">
        <v>26</v>
      </c>
      <c r="C10" s="7" t="s">
        <v>16</v>
      </c>
      <c r="D10" s="8" t="s">
        <v>17</v>
      </c>
      <c r="E10" s="9" t="n">
        <v>2026</v>
      </c>
      <c r="F10" s="10" t="n">
        <v>1077017</v>
      </c>
      <c r="G10" s="9" t="n">
        <v>2036</v>
      </c>
      <c r="H10" s="11" t="n">
        <f aca="false">IF(AND(ISNUMBER(E10),ISNUMBER(G10)),G10-E10,"")</f>
        <v>10</v>
      </c>
      <c r="I10" s="12" t="n">
        <f aca="false">IFERROR(IF(D10="Vehicle",INDEX($N$4:$N$7,MATCH(C10,$M$4:$M$7,0)),INDEX($O$4:$O$7,MATCH(C10,$M$4:$M$7,0))),"")</f>
        <v>0.11</v>
      </c>
      <c r="J10" s="13" t="n">
        <f aca="false">IFERROR(F10*(1+I10)^H10,"")</f>
        <v>3058104.6721531</v>
      </c>
    </row>
    <row r="11" customFormat="false" ht="15" hidden="false" customHeight="false" outlineLevel="0" collapsed="false">
      <c r="A11" s="6" t="s">
        <v>24</v>
      </c>
      <c r="B11" s="6" t="s">
        <v>26</v>
      </c>
      <c r="C11" s="7" t="s">
        <v>16</v>
      </c>
      <c r="D11" s="16" t="s">
        <v>18</v>
      </c>
      <c r="E11" s="9" t="n">
        <v>2026</v>
      </c>
      <c r="F11" s="10" t="n">
        <v>355000</v>
      </c>
      <c r="G11" s="9" t="n">
        <v>2036</v>
      </c>
      <c r="H11" s="11" t="n">
        <f aca="false">IF(AND(ISNUMBER(E11),ISNUMBER(G11)),G11-E11,"")</f>
        <v>10</v>
      </c>
      <c r="I11" s="12" t="n">
        <f aca="false">IFERROR(IF(D11="Vehicle",INDEX($N$4:$N$7,MATCH(C11,$M$4:$M$7,0)),INDEX($O$4:$O$7,MATCH(C11,$M$4:$M$7,0))),"")</f>
        <v>0.06</v>
      </c>
      <c r="J11" s="17" t="n">
        <f aca="false">IFERROR(F11*(1+I11)^H11,"")</f>
        <v>635750.932272713</v>
      </c>
    </row>
    <row r="12" customFormat="false" ht="15" hidden="false" customHeight="false" outlineLevel="0" collapsed="false">
      <c r="A12" s="6" t="s">
        <v>24</v>
      </c>
      <c r="B12" s="6" t="s">
        <v>27</v>
      </c>
      <c r="C12" s="7" t="s">
        <v>16</v>
      </c>
      <c r="D12" s="8" t="s">
        <v>17</v>
      </c>
      <c r="E12" s="9" t="n">
        <v>2026</v>
      </c>
      <c r="F12" s="10" t="n">
        <v>1077017</v>
      </c>
      <c r="G12" s="9" t="n">
        <v>2036</v>
      </c>
      <c r="H12" s="11" t="n">
        <f aca="false">IF(AND(ISNUMBER(E12),ISNUMBER(G12)),G12-E12,"")</f>
        <v>10</v>
      </c>
      <c r="I12" s="12" t="n">
        <f aca="false">IFERROR(IF(D12="Vehicle",INDEX($N$4:$N$7,MATCH(C12,$M$4:$M$7,0)),INDEX($O$4:$O$7,MATCH(C12,$M$4:$M$7,0))),"")</f>
        <v>0.11</v>
      </c>
      <c r="J12" s="13" t="n">
        <f aca="false">IFERROR(F12*(1+I12)^H12,"")</f>
        <v>3058104.6721531</v>
      </c>
    </row>
    <row r="13" customFormat="false" ht="15" hidden="false" customHeight="false" outlineLevel="0" collapsed="false">
      <c r="A13" s="6" t="s">
        <v>24</v>
      </c>
      <c r="B13" s="6" t="s">
        <v>27</v>
      </c>
      <c r="C13" s="7" t="s">
        <v>16</v>
      </c>
      <c r="D13" s="16" t="s">
        <v>18</v>
      </c>
      <c r="E13" s="9" t="n">
        <v>2026</v>
      </c>
      <c r="F13" s="10" t="n">
        <v>355000</v>
      </c>
      <c r="G13" s="9" t="n">
        <v>2036</v>
      </c>
      <c r="H13" s="11" t="n">
        <f aca="false">IF(AND(ISNUMBER(E13),ISNUMBER(G13)),G13-E13,"")</f>
        <v>10</v>
      </c>
      <c r="I13" s="12" t="n">
        <f aca="false">IFERROR(IF(D13="Vehicle",INDEX($N$4:$N$7,MATCH(C13,$M$4:$M$7,0)),INDEX($O$4:$O$7,MATCH(C13,$M$4:$M$7,0))),"")</f>
        <v>0.06</v>
      </c>
      <c r="J13" s="17" t="n">
        <f aca="false">IFERROR(F13*(1+I13)^H13,"")</f>
        <v>635750.932272713</v>
      </c>
    </row>
    <row r="14" customFormat="false" ht="15" hidden="false" customHeight="false" outlineLevel="0" collapsed="false">
      <c r="A14" s="6" t="s">
        <v>28</v>
      </c>
      <c r="B14" s="6" t="s">
        <v>29</v>
      </c>
      <c r="C14" s="7" t="s">
        <v>16</v>
      </c>
      <c r="D14" s="8" t="s">
        <v>17</v>
      </c>
      <c r="E14" s="9" t="n">
        <v>2020</v>
      </c>
      <c r="F14" s="10" t="n">
        <v>280000</v>
      </c>
      <c r="G14" s="9" t="n">
        <v>2030</v>
      </c>
      <c r="H14" s="11" t="n">
        <f aca="false">IF(AND(ISNUMBER(E14),ISNUMBER(G14)),G14-E14,"")</f>
        <v>10</v>
      </c>
      <c r="I14" s="12" t="n">
        <f aca="false">IFERROR(IF(D14="Vehicle",INDEX($N$4:$N$7,MATCH(C14,$M$4:$M$7,0)),INDEX($O$4:$O$7,MATCH(C14,$M$4:$M$7,0))),"")</f>
        <v>0.11</v>
      </c>
      <c r="J14" s="13" t="n">
        <f aca="false">IFERROR(F14*(1+I14)^H14,"")</f>
        <v>795037.876099325</v>
      </c>
    </row>
    <row r="15" customFormat="false" ht="15" hidden="false" customHeight="false" outlineLevel="0" collapsed="false">
      <c r="A15" s="6" t="s">
        <v>28</v>
      </c>
      <c r="B15" s="6" t="s">
        <v>29</v>
      </c>
      <c r="C15" s="7" t="s">
        <v>16</v>
      </c>
      <c r="D15" s="16" t="s">
        <v>18</v>
      </c>
      <c r="E15" s="9" t="n">
        <v>2020</v>
      </c>
      <c r="F15" s="10" t="n">
        <v>100000</v>
      </c>
      <c r="G15" s="9" t="n">
        <v>2030</v>
      </c>
      <c r="H15" s="11" t="n">
        <f aca="false">IF(AND(ISNUMBER(E15),ISNUMBER(G15)),G15-E15,"")</f>
        <v>10</v>
      </c>
      <c r="I15" s="12" t="n">
        <f aca="false">IFERROR(IF(D15="Vehicle",INDEX($N$4:$N$7,MATCH(C15,$M$4:$M$7,0)),INDEX($O$4:$O$7,MATCH(C15,$M$4:$M$7,0))),"")</f>
        <v>0.06</v>
      </c>
      <c r="J15" s="17" t="n">
        <f aca="false">IFERROR(F15*(1+I15)^H15,"")</f>
        <v>179084.769654285</v>
      </c>
    </row>
    <row r="16" customFormat="false" ht="15" hidden="false" customHeight="false" outlineLevel="0" collapsed="false">
      <c r="A16" s="6" t="s">
        <v>30</v>
      </c>
      <c r="B16" s="6" t="s">
        <v>31</v>
      </c>
      <c r="C16" s="7" t="s">
        <v>19</v>
      </c>
      <c r="D16" s="8" t="s">
        <v>17</v>
      </c>
      <c r="E16" s="9" t="n">
        <v>2019</v>
      </c>
      <c r="F16" s="10" t="n">
        <v>857113</v>
      </c>
      <c r="G16" s="9" t="n">
        <v>2031</v>
      </c>
      <c r="H16" s="11" t="n">
        <f aca="false">IF(AND(ISNUMBER(E16),ISNUMBER(G16)),G16-E16,"")</f>
        <v>12</v>
      </c>
      <c r="I16" s="12" t="n">
        <f aca="false">IFERROR(IF(D16="Vehicle",INDEX($N$4:$N$7,MATCH(C16,$M$4:$M$7,0)),INDEX($O$4:$O$7,MATCH(C16,$M$4:$M$7,0))),"")</f>
        <v>0.11</v>
      </c>
      <c r="J16" s="13" t="n">
        <f aca="false">IFERROR(F16*(1+I16)^H16,"")</f>
        <v>2998567.4864913</v>
      </c>
    </row>
    <row r="17" customFormat="false" ht="15" hidden="false" customHeight="false" outlineLevel="0" collapsed="false">
      <c r="A17" s="6" t="s">
        <v>30</v>
      </c>
      <c r="B17" s="6" t="s">
        <v>31</v>
      </c>
      <c r="C17" s="7" t="s">
        <v>19</v>
      </c>
      <c r="D17" s="16" t="s">
        <v>18</v>
      </c>
      <c r="E17" s="9" t="n">
        <v>2019</v>
      </c>
      <c r="F17" s="10" t="n">
        <v>285000</v>
      </c>
      <c r="G17" s="9" t="n">
        <v>2031</v>
      </c>
      <c r="H17" s="11" t="n">
        <f aca="false">IF(AND(ISNUMBER(E17),ISNUMBER(G17)),G17-E17,"")</f>
        <v>12</v>
      </c>
      <c r="I17" s="12" t="n">
        <f aca="false">IFERROR(IF(D17="Vehicle",INDEX($N$4:$N$7,MATCH(C17,$M$4:$M$7,0)),INDEX($O$4:$O$7,MATCH(C17,$M$4:$M$7,0))),"")</f>
        <v>0.06</v>
      </c>
      <c r="J17" s="17" t="n">
        <f aca="false">IFERROR(F17*(1+I17)^H17,"")</f>
        <v>573475.994473132</v>
      </c>
    </row>
    <row r="18" customFormat="false" ht="15" hidden="false" customHeight="false" outlineLevel="0" collapsed="false">
      <c r="A18" s="6" t="s">
        <v>24</v>
      </c>
      <c r="B18" s="6" t="s">
        <v>32</v>
      </c>
      <c r="C18" s="7" t="s">
        <v>19</v>
      </c>
      <c r="D18" s="8" t="s">
        <v>17</v>
      </c>
      <c r="E18" s="9" t="n">
        <v>2026</v>
      </c>
      <c r="F18" s="10" t="n">
        <v>1572471</v>
      </c>
      <c r="G18" s="9" t="n">
        <v>2038</v>
      </c>
      <c r="H18" s="11" t="n">
        <f aca="false">IF(AND(ISNUMBER(E18),ISNUMBER(G18)),G18-E18,"")</f>
        <v>12</v>
      </c>
      <c r="I18" s="12" t="n">
        <f aca="false">IFERROR(IF(D18="Vehicle",INDEX($N$4:$N$7,MATCH(C18,$M$4:$M$7,0)),INDEX($O$4:$O$7,MATCH(C18,$M$4:$M$7,0))),"")</f>
        <v>0.11</v>
      </c>
      <c r="J18" s="13" t="n">
        <f aca="false">IFERROR(F18*(1+I18)^H18,"")</f>
        <v>5501212.10861398</v>
      </c>
    </row>
    <row r="19" customFormat="false" ht="15" hidden="false" customHeight="false" outlineLevel="0" collapsed="false">
      <c r="A19" s="6" t="s">
        <v>24</v>
      </c>
      <c r="B19" s="6" t="s">
        <v>32</v>
      </c>
      <c r="C19" s="7" t="s">
        <v>19</v>
      </c>
      <c r="D19" s="16" t="s">
        <v>18</v>
      </c>
      <c r="E19" s="9" t="n">
        <v>2026</v>
      </c>
      <c r="F19" s="10" t="n">
        <v>385000</v>
      </c>
      <c r="G19" s="9" t="n">
        <v>2038</v>
      </c>
      <c r="H19" s="11" t="n">
        <f aca="false">IF(AND(ISNUMBER(E19),ISNUMBER(G19)),G19-E19,"")</f>
        <v>12</v>
      </c>
      <c r="I19" s="12" t="n">
        <f aca="false">IFERROR(IF(D19="Vehicle",INDEX($N$4:$N$7,MATCH(C19,$M$4:$M$7,0)),INDEX($O$4:$O$7,MATCH(C19,$M$4:$M$7,0))),"")</f>
        <v>0.06</v>
      </c>
      <c r="J19" s="17" t="n">
        <f aca="false">IFERROR(F19*(1+I19)^H19,"")</f>
        <v>774695.641656687</v>
      </c>
    </row>
    <row r="20" customFormat="false" ht="15" hidden="false" customHeight="false" outlineLevel="0" collapsed="false">
      <c r="A20" s="6" t="s">
        <v>33</v>
      </c>
      <c r="B20" s="6" t="s">
        <v>34</v>
      </c>
      <c r="C20" s="7" t="s">
        <v>19</v>
      </c>
      <c r="D20" s="8" t="s">
        <v>17</v>
      </c>
      <c r="E20" s="9" t="n">
        <v>2021</v>
      </c>
      <c r="F20" s="10" t="n">
        <v>994084</v>
      </c>
      <c r="G20" s="9" t="n">
        <v>2033</v>
      </c>
      <c r="H20" s="11" t="n">
        <f aca="false">IF(AND(ISNUMBER(E20),ISNUMBER(G20)),G20-E20,"")</f>
        <v>12</v>
      </c>
      <c r="I20" s="12" t="n">
        <f aca="false">IFERROR(IF(D20="Vehicle",INDEX($N$4:$N$7,MATCH(C20,$M$4:$M$7,0)),INDEX($O$4:$O$7,MATCH(C20,$M$4:$M$7,0))),"")</f>
        <v>0.11</v>
      </c>
      <c r="J20" s="13" t="n">
        <f aca="false">IFERROR(F20*(1+I20)^H20,"")</f>
        <v>3477753.76320417</v>
      </c>
    </row>
    <row r="21" customFormat="false" ht="15" hidden="false" customHeight="false" outlineLevel="0" collapsed="false">
      <c r="A21" s="6" t="s">
        <v>33</v>
      </c>
      <c r="B21" s="6" t="s">
        <v>34</v>
      </c>
      <c r="C21" s="7" t="s">
        <v>19</v>
      </c>
      <c r="D21" s="16" t="s">
        <v>18</v>
      </c>
      <c r="E21" s="9" t="n">
        <v>2021</v>
      </c>
      <c r="F21" s="10" t="n">
        <v>295000</v>
      </c>
      <c r="G21" s="9" t="n">
        <v>2033</v>
      </c>
      <c r="H21" s="11" t="n">
        <f aca="false">IF(AND(ISNUMBER(E21),ISNUMBER(G21)),G21-E21,"")</f>
        <v>12</v>
      </c>
      <c r="I21" s="12" t="n">
        <f aca="false">IFERROR(IF(D21="Vehicle",INDEX($N$4:$N$7,MATCH(C21,$M$4:$M$7,0)),INDEX($O$4:$O$7,MATCH(C21,$M$4:$M$7,0))),"")</f>
        <v>0.06</v>
      </c>
      <c r="J21" s="17" t="n">
        <f aca="false">IFERROR(F21*(1+I21)^H21,"")</f>
        <v>593597.959191488</v>
      </c>
    </row>
    <row r="22" customFormat="false" ht="15" hidden="false" customHeight="false" outlineLevel="0" collapsed="false">
      <c r="A22" s="6" t="s">
        <v>35</v>
      </c>
      <c r="B22" s="6" t="s">
        <v>36</v>
      </c>
      <c r="C22" s="7" t="s">
        <v>22</v>
      </c>
      <c r="D22" s="8" t="s">
        <v>17</v>
      </c>
      <c r="E22" s="9" t="n">
        <v>2023</v>
      </c>
      <c r="F22" s="10" t="n">
        <v>379974</v>
      </c>
      <c r="G22" s="9" t="n">
        <v>2028</v>
      </c>
      <c r="H22" s="11" t="n">
        <f aca="false">IF(AND(ISNUMBER(E22),ISNUMBER(G22)),G22-E22,"")</f>
        <v>5</v>
      </c>
      <c r="I22" s="12" t="n">
        <f aca="false">IFERROR(IF(D22="Vehicle",INDEX($N$4:$N$7,MATCH(C22,$M$4:$M$7,0)),INDEX($O$4:$O$7,MATCH(C22,$M$4:$M$7,0))),"")</f>
        <v>0.08</v>
      </c>
      <c r="J22" s="13" t="n">
        <f aca="false">IFERROR(F22*(1+I22)^H22,"")</f>
        <v>558306.466654003</v>
      </c>
    </row>
    <row r="23" customFormat="false" ht="15" hidden="false" customHeight="false" outlineLevel="0" collapsed="false">
      <c r="A23" s="6" t="s">
        <v>35</v>
      </c>
      <c r="B23" s="6" t="s">
        <v>36</v>
      </c>
      <c r="C23" s="7" t="s">
        <v>22</v>
      </c>
      <c r="D23" s="16" t="s">
        <v>18</v>
      </c>
      <c r="E23" s="9" t="n">
        <v>2023</v>
      </c>
      <c r="F23" s="10" t="n">
        <v>185000</v>
      </c>
      <c r="G23" s="9" t="n">
        <v>2028</v>
      </c>
      <c r="H23" s="11" t="n">
        <f aca="false">IF(AND(ISNUMBER(E23),ISNUMBER(G23)),G23-E23,"")</f>
        <v>5</v>
      </c>
      <c r="I23" s="12" t="n">
        <f aca="false">IFERROR(IF(D23="Vehicle",INDEX($N$4:$N$7,MATCH(C23,$M$4:$M$7,0)),INDEX($O$4:$O$7,MATCH(C23,$M$4:$M$7,0))),"")</f>
        <v>0.06</v>
      </c>
      <c r="J23" s="17" t="n">
        <f aca="false">IFERROR(F23*(1+I23)^H23,"")</f>
        <v>247571.731856</v>
      </c>
    </row>
    <row r="24" customFormat="false" ht="15" hidden="false" customHeight="false" outlineLevel="0" collapsed="false">
      <c r="A24" s="6" t="s">
        <v>37</v>
      </c>
      <c r="B24" s="6" t="s">
        <v>38</v>
      </c>
      <c r="C24" s="7" t="s">
        <v>22</v>
      </c>
      <c r="D24" s="8" t="s">
        <v>17</v>
      </c>
      <c r="E24" s="9" t="n">
        <v>2025</v>
      </c>
      <c r="F24" s="10" t="n">
        <v>379974</v>
      </c>
      <c r="G24" s="9" t="n">
        <v>2030</v>
      </c>
      <c r="H24" s="11" t="n">
        <f aca="false">IF(AND(ISNUMBER(E24),ISNUMBER(G24)),G24-E24,"")</f>
        <v>5</v>
      </c>
      <c r="I24" s="12" t="n">
        <f aca="false">IFERROR(IF(D24="Vehicle",INDEX($N$4:$N$7,MATCH(C24,$M$4:$M$7,0)),INDEX($O$4:$O$7,MATCH(C24,$M$4:$M$7,0))),"")</f>
        <v>0.08</v>
      </c>
      <c r="J24" s="13" t="n">
        <f aca="false">IFERROR(F24*(1+I24)^H24,"")</f>
        <v>558306.466654003</v>
      </c>
    </row>
    <row r="25" customFormat="false" ht="15" hidden="false" customHeight="false" outlineLevel="0" collapsed="false">
      <c r="A25" s="6" t="s">
        <v>37</v>
      </c>
      <c r="B25" s="6" t="s">
        <v>38</v>
      </c>
      <c r="C25" s="7" t="s">
        <v>22</v>
      </c>
      <c r="D25" s="16" t="s">
        <v>18</v>
      </c>
      <c r="E25" s="9" t="n">
        <v>2025</v>
      </c>
      <c r="F25" s="10" t="n">
        <v>206000</v>
      </c>
      <c r="G25" s="9" t="n">
        <v>2030</v>
      </c>
      <c r="H25" s="11" t="n">
        <f aca="false">IF(AND(ISNUMBER(E25),ISNUMBER(G25)),G25-E25,"")</f>
        <v>5</v>
      </c>
      <c r="I25" s="12" t="n">
        <f aca="false">IFERROR(IF(D25="Vehicle",INDEX($N$4:$N$7,MATCH(C25,$M$4:$M$7,0)),INDEX($O$4:$O$7,MATCH(C25,$M$4:$M$7,0))),"")</f>
        <v>0.06</v>
      </c>
      <c r="J25" s="17" t="n">
        <f aca="false">IFERROR(F25*(1+I25)^H25,"")</f>
        <v>275674.4689856</v>
      </c>
    </row>
    <row r="26" customFormat="false" ht="15" hidden="false" customHeight="false" outlineLevel="0" collapsed="false">
      <c r="A26" s="6" t="s">
        <v>39</v>
      </c>
      <c r="B26" s="6" t="s">
        <v>40</v>
      </c>
      <c r="C26" s="7" t="s">
        <v>22</v>
      </c>
      <c r="D26" s="8" t="s">
        <v>17</v>
      </c>
      <c r="E26" s="9" t="n">
        <v>2023</v>
      </c>
      <c r="F26" s="10" t="n">
        <v>379974</v>
      </c>
      <c r="G26" s="9" t="n">
        <v>2028</v>
      </c>
      <c r="H26" s="11" t="n">
        <f aca="false">IF(AND(ISNUMBER(E26),ISNUMBER(G26)),G26-E26,"")</f>
        <v>5</v>
      </c>
      <c r="I26" s="12" t="n">
        <f aca="false">IFERROR(IF(D26="Vehicle",INDEX($N$4:$N$7,MATCH(C26,$M$4:$M$7,0)),INDEX($O$4:$O$7,MATCH(C26,$M$4:$M$7,0))),"")</f>
        <v>0.08</v>
      </c>
      <c r="J26" s="13" t="n">
        <f aca="false">IFERROR(F26*(1+I26)^H26,"")</f>
        <v>558306.466654003</v>
      </c>
    </row>
    <row r="27" customFormat="false" ht="15" hidden="false" customHeight="false" outlineLevel="0" collapsed="false">
      <c r="A27" s="6" t="s">
        <v>39</v>
      </c>
      <c r="B27" s="6" t="s">
        <v>40</v>
      </c>
      <c r="C27" s="7" t="s">
        <v>22</v>
      </c>
      <c r="D27" s="16" t="s">
        <v>18</v>
      </c>
      <c r="E27" s="9" t="n">
        <v>2023</v>
      </c>
      <c r="F27" s="10" t="n">
        <v>185000</v>
      </c>
      <c r="G27" s="9" t="n">
        <v>2028</v>
      </c>
      <c r="H27" s="11" t="n">
        <f aca="false">IF(AND(ISNUMBER(E27),ISNUMBER(G27)),G27-E27,"")</f>
        <v>5</v>
      </c>
      <c r="I27" s="12" t="n">
        <f aca="false">IFERROR(IF(D27="Vehicle",INDEX($N$4:$N$7,MATCH(C27,$M$4:$M$7,0)),INDEX($O$4:$O$7,MATCH(C27,$M$4:$M$7,0))),"")</f>
        <v>0.06</v>
      </c>
      <c r="J27" s="17" t="n">
        <f aca="false">IFERROR(F27*(1+I27)^H27,"")</f>
        <v>247571.731856</v>
      </c>
    </row>
    <row r="28" customFormat="false" ht="15" hidden="false" customHeight="false" outlineLevel="0" collapsed="false">
      <c r="A28" s="6" t="s">
        <v>41</v>
      </c>
      <c r="B28" s="6" t="s">
        <v>42</v>
      </c>
      <c r="C28" s="7" t="s">
        <v>22</v>
      </c>
      <c r="D28" s="8" t="s">
        <v>17</v>
      </c>
      <c r="E28" s="9" t="n">
        <v>2019</v>
      </c>
      <c r="F28" s="10" t="n">
        <v>271202</v>
      </c>
      <c r="G28" s="9" t="n">
        <v>2024</v>
      </c>
      <c r="H28" s="11" t="n">
        <f aca="false">IF(AND(ISNUMBER(E28),ISNUMBER(G28)),G28-E28,"")</f>
        <v>5</v>
      </c>
      <c r="I28" s="12" t="n">
        <f aca="false">IFERROR(IF(D28="Vehicle",INDEX($N$4:$N$7,MATCH(C28,$M$4:$M$7,0)),INDEX($O$4:$O$7,MATCH(C28,$M$4:$M$7,0))),"")</f>
        <v>0.08</v>
      </c>
      <c r="J28" s="13" t="n">
        <f aca="false">IFERROR(F28*(1+I28)^H28,"")</f>
        <v>398484.713084314</v>
      </c>
    </row>
    <row r="29" customFormat="false" ht="15" hidden="false" customHeight="false" outlineLevel="0" collapsed="false">
      <c r="A29" s="6" t="s">
        <v>41</v>
      </c>
      <c r="B29" s="6" t="s">
        <v>42</v>
      </c>
      <c r="C29" s="7" t="s">
        <v>22</v>
      </c>
      <c r="D29" s="16" t="s">
        <v>18</v>
      </c>
      <c r="E29" s="9" t="n">
        <v>2019</v>
      </c>
      <c r="F29" s="10" t="n">
        <v>150000</v>
      </c>
      <c r="G29" s="9" t="n">
        <v>2024</v>
      </c>
      <c r="H29" s="11" t="n">
        <f aca="false">IF(AND(ISNUMBER(E29),ISNUMBER(G29)),G29-E29,"")</f>
        <v>5</v>
      </c>
      <c r="I29" s="12" t="n">
        <f aca="false">IFERROR(IF(D29="Vehicle",INDEX($N$4:$N$7,MATCH(C29,$M$4:$M$7,0)),INDEX($O$4:$O$7,MATCH(C29,$M$4:$M$7,0))),"")</f>
        <v>0.06</v>
      </c>
      <c r="J29" s="17" t="n">
        <f aca="false">IFERROR(F29*(1+I29)^H29,"")</f>
        <v>200733.83664</v>
      </c>
    </row>
    <row r="30" customFormat="false" ht="15" hidden="false" customHeight="false" outlineLevel="0" collapsed="false">
      <c r="A30" s="6" t="s">
        <v>43</v>
      </c>
      <c r="B30" s="6" t="s">
        <v>44</v>
      </c>
      <c r="C30" s="7" t="s">
        <v>22</v>
      </c>
      <c r="D30" s="8" t="s">
        <v>17</v>
      </c>
      <c r="E30" s="9" t="n">
        <v>2023</v>
      </c>
      <c r="F30" s="10" t="n">
        <v>379974</v>
      </c>
      <c r="G30" s="9" t="n">
        <v>2028</v>
      </c>
      <c r="H30" s="11" t="n">
        <f aca="false">IF(AND(ISNUMBER(E30),ISNUMBER(G30)),G30-E30,"")</f>
        <v>5</v>
      </c>
      <c r="I30" s="12" t="n">
        <f aca="false">IFERROR(IF(D30="Vehicle",INDEX($N$4:$N$7,MATCH(C30,$M$4:$M$7,0)),INDEX($O$4:$O$7,MATCH(C30,$M$4:$M$7,0))),"")</f>
        <v>0.08</v>
      </c>
      <c r="J30" s="13" t="n">
        <f aca="false">IFERROR(F30*(1+I30)^H30,"")</f>
        <v>558306.466654003</v>
      </c>
    </row>
    <row r="31" customFormat="false" ht="15" hidden="false" customHeight="false" outlineLevel="0" collapsed="false">
      <c r="A31" s="6" t="s">
        <v>43</v>
      </c>
      <c r="B31" s="6" t="s">
        <v>44</v>
      </c>
      <c r="C31" s="7" t="s">
        <v>22</v>
      </c>
      <c r="D31" s="16" t="s">
        <v>18</v>
      </c>
      <c r="E31" s="9" t="n">
        <v>2023</v>
      </c>
      <c r="F31" s="10" t="n">
        <v>185000</v>
      </c>
      <c r="G31" s="9" t="n">
        <v>2028</v>
      </c>
      <c r="H31" s="11" t="n">
        <f aca="false">IF(AND(ISNUMBER(E31),ISNUMBER(G31)),G31-E31,"")</f>
        <v>5</v>
      </c>
      <c r="I31" s="12" t="n">
        <f aca="false">IFERROR(IF(D31="Vehicle",INDEX($N$4:$N$7,MATCH(C31,$M$4:$M$7,0)),INDEX($O$4:$O$7,MATCH(C31,$M$4:$M$7,0))),"")</f>
        <v>0.06</v>
      </c>
      <c r="J31" s="17" t="n">
        <f aca="false">IFERROR(F31*(1+I31)^H31,"")</f>
        <v>247571.731856</v>
      </c>
    </row>
    <row r="32" customFormat="false" ht="15" hidden="false" customHeight="false" outlineLevel="0" collapsed="false">
      <c r="A32" s="6" t="s">
        <v>45</v>
      </c>
      <c r="B32" s="6" t="s">
        <v>46</v>
      </c>
      <c r="C32" s="7" t="s">
        <v>22</v>
      </c>
      <c r="D32" s="8" t="s">
        <v>17</v>
      </c>
      <c r="E32" s="9" t="n">
        <v>2025</v>
      </c>
      <c r="F32" s="10" t="n">
        <v>379974</v>
      </c>
      <c r="G32" s="9" t="n">
        <v>2030</v>
      </c>
      <c r="H32" s="11" t="n">
        <f aca="false">IF(AND(ISNUMBER(E32),ISNUMBER(G32)),G32-E32,"")</f>
        <v>5</v>
      </c>
      <c r="I32" s="12" t="n">
        <f aca="false">IFERROR(IF(D32="Vehicle",INDEX($N$4:$N$7,MATCH(C32,$M$4:$M$7,0)),INDEX($O$4:$O$7,MATCH(C32,$M$4:$M$7,0))),"")</f>
        <v>0.08</v>
      </c>
      <c r="J32" s="13" t="n">
        <f aca="false">IFERROR(F32*(1+I32)^H32,"")</f>
        <v>558306.466654003</v>
      </c>
    </row>
    <row r="33" customFormat="false" ht="15" hidden="false" customHeight="false" outlineLevel="0" collapsed="false">
      <c r="A33" s="6" t="s">
        <v>45</v>
      </c>
      <c r="B33" s="6" t="s">
        <v>46</v>
      </c>
      <c r="C33" s="7" t="s">
        <v>22</v>
      </c>
      <c r="D33" s="16" t="s">
        <v>18</v>
      </c>
      <c r="E33" s="9" t="n">
        <v>2025</v>
      </c>
      <c r="F33" s="10" t="n">
        <v>206000</v>
      </c>
      <c r="G33" s="9" t="n">
        <v>2030</v>
      </c>
      <c r="H33" s="11" t="n">
        <f aca="false">IF(AND(ISNUMBER(E33),ISNUMBER(G33)),G33-E33,"")</f>
        <v>5</v>
      </c>
      <c r="I33" s="12" t="n">
        <f aca="false">IFERROR(IF(D33="Vehicle",INDEX($N$4:$N$7,MATCH(C33,$M$4:$M$7,0)),INDEX($O$4:$O$7,MATCH(C33,$M$4:$M$7,0))),"")</f>
        <v>0.06</v>
      </c>
      <c r="J33" s="17" t="n">
        <f aca="false">IFERROR(F33*(1+I33)^H33,"")</f>
        <v>275674.4689856</v>
      </c>
    </row>
    <row r="34" customFormat="false" ht="15" hidden="false" customHeight="false" outlineLevel="0" collapsed="false">
      <c r="A34" s="6" t="s">
        <v>47</v>
      </c>
      <c r="B34" s="6" t="s">
        <v>48</v>
      </c>
      <c r="C34" s="7" t="s">
        <v>22</v>
      </c>
      <c r="D34" s="8" t="s">
        <v>17</v>
      </c>
      <c r="E34" s="9" t="n">
        <v>2025</v>
      </c>
      <c r="F34" s="10" t="n">
        <v>379974</v>
      </c>
      <c r="G34" s="9" t="n">
        <v>2030</v>
      </c>
      <c r="H34" s="11" t="n">
        <f aca="false">IF(AND(ISNUMBER(E34),ISNUMBER(G34)),G34-E34,"")</f>
        <v>5</v>
      </c>
      <c r="I34" s="12" t="n">
        <f aca="false">IFERROR(IF(D34="Vehicle",INDEX($N$4:$N$7,MATCH(C34,$M$4:$M$7,0)),INDEX($O$4:$O$7,MATCH(C34,$M$4:$M$7,0))),"")</f>
        <v>0.08</v>
      </c>
      <c r="J34" s="13" t="n">
        <f aca="false">IFERROR(F34*(1+I34)^H34,"")</f>
        <v>558306.466654003</v>
      </c>
    </row>
    <row r="35" customFormat="false" ht="15" hidden="false" customHeight="false" outlineLevel="0" collapsed="false">
      <c r="A35" s="6" t="s">
        <v>47</v>
      </c>
      <c r="B35" s="6" t="s">
        <v>48</v>
      </c>
      <c r="C35" s="7" t="s">
        <v>22</v>
      </c>
      <c r="D35" s="16" t="s">
        <v>18</v>
      </c>
      <c r="E35" s="9" t="n">
        <v>2025</v>
      </c>
      <c r="F35" s="10" t="n">
        <v>206000</v>
      </c>
      <c r="G35" s="9" t="n">
        <v>2030</v>
      </c>
      <c r="H35" s="11" t="n">
        <f aca="false">IF(AND(ISNUMBER(E35),ISNUMBER(G35)),G35-E35,"")</f>
        <v>5</v>
      </c>
      <c r="I35" s="12" t="n">
        <f aca="false">IFERROR(IF(D35="Vehicle",INDEX($N$4:$N$7,MATCH(C35,$M$4:$M$7,0)),INDEX($O$4:$O$7,MATCH(C35,$M$4:$M$7,0))),"")</f>
        <v>0.06</v>
      </c>
      <c r="J35" s="17" t="n">
        <f aca="false">IFERROR(F35*(1+I35)^H35,"")</f>
        <v>275674.4689856</v>
      </c>
    </row>
    <row r="36" customFormat="false" ht="15" hidden="false" customHeight="false" outlineLevel="0" collapsed="false">
      <c r="A36" s="6" t="s">
        <v>49</v>
      </c>
      <c r="B36" s="6" t="s">
        <v>50</v>
      </c>
      <c r="C36" s="7" t="s">
        <v>22</v>
      </c>
      <c r="D36" s="8" t="s">
        <v>17</v>
      </c>
      <c r="E36" s="9" t="n">
        <v>2025</v>
      </c>
      <c r="F36" s="10" t="n">
        <v>410880</v>
      </c>
      <c r="G36" s="9" t="n">
        <v>2030</v>
      </c>
      <c r="H36" s="11" t="n">
        <f aca="false">IF(AND(ISNUMBER(E36),ISNUMBER(G36)),G36-E36,"")</f>
        <v>5</v>
      </c>
      <c r="I36" s="12" t="n">
        <f aca="false">IFERROR(IF(D36="Vehicle",INDEX($N$4:$N$7,MATCH(C36,$M$4:$M$7,0)),INDEX($O$4:$O$7,MATCH(C36,$M$4:$M$7,0))),"")</f>
        <v>0.08</v>
      </c>
      <c r="J36" s="13" t="n">
        <f aca="false">IFERROR(F36*(1+I36)^H36,"")</f>
        <v>603717.520195584</v>
      </c>
    </row>
    <row r="37" customFormat="false" ht="15" hidden="false" customHeight="false" outlineLevel="0" collapsed="false">
      <c r="A37" s="6" t="s">
        <v>49</v>
      </c>
      <c r="B37" s="6" t="s">
        <v>50</v>
      </c>
      <c r="C37" s="7" t="s">
        <v>22</v>
      </c>
      <c r="D37" s="16" t="s">
        <v>18</v>
      </c>
      <c r="E37" s="9" t="n">
        <v>2025</v>
      </c>
      <c r="F37" s="10" t="n">
        <v>206000</v>
      </c>
      <c r="G37" s="9" t="n">
        <v>2030</v>
      </c>
      <c r="H37" s="11" t="n">
        <f aca="false">IF(AND(ISNUMBER(E37),ISNUMBER(G37)),G37-E37,"")</f>
        <v>5</v>
      </c>
      <c r="I37" s="12" t="n">
        <f aca="false">IFERROR(IF(D37="Vehicle",INDEX($N$4:$N$7,MATCH(C37,$M$4:$M$7,0)),INDEX($O$4:$O$7,MATCH(C37,$M$4:$M$7,0))),"")</f>
        <v>0.06</v>
      </c>
      <c r="J37" s="17" t="n">
        <f aca="false">IFERROR(F37*(1+I37)^H37,"")</f>
        <v>275674.4689856</v>
      </c>
    </row>
    <row r="38" customFormat="false" ht="15" hidden="false" customHeight="false" outlineLevel="0" collapsed="false">
      <c r="A38" s="6" t="s">
        <v>24</v>
      </c>
      <c r="B38" s="6" t="s">
        <v>51</v>
      </c>
      <c r="C38" s="7" t="s">
        <v>22</v>
      </c>
      <c r="D38" s="8" t="s">
        <v>17</v>
      </c>
      <c r="E38" s="9" t="n">
        <v>2026</v>
      </c>
      <c r="F38" s="10" t="n">
        <v>441778</v>
      </c>
      <c r="G38" s="9" t="n">
        <v>2031</v>
      </c>
      <c r="H38" s="11" t="n">
        <f aca="false">IF(AND(ISNUMBER(E38),ISNUMBER(G38)),G38-E38,"")</f>
        <v>5</v>
      </c>
      <c r="I38" s="12" t="n">
        <f aca="false">IFERROR(IF(D38="Vehicle",INDEX($N$4:$N$7,MATCH(C38,$M$4:$M$7,0)),INDEX($O$4:$O$7,MATCH(C38,$M$4:$M$7,0))),"")</f>
        <v>0.08</v>
      </c>
      <c r="J38" s="13" t="n">
        <f aca="false">IFERROR(F38*(1+I38)^H38,"")</f>
        <v>649116.819112551</v>
      </c>
    </row>
    <row r="39" customFormat="false" ht="15" hidden="false" customHeight="false" outlineLevel="0" collapsed="false">
      <c r="A39" s="6" t="s">
        <v>24</v>
      </c>
      <c r="B39" s="6" t="s">
        <v>51</v>
      </c>
      <c r="C39" s="7" t="s">
        <v>22</v>
      </c>
      <c r="D39" s="16" t="s">
        <v>18</v>
      </c>
      <c r="E39" s="9" t="n">
        <v>2026</v>
      </c>
      <c r="F39" s="10" t="n">
        <v>206000</v>
      </c>
      <c r="G39" s="9" t="n">
        <v>2031</v>
      </c>
      <c r="H39" s="11" t="n">
        <f aca="false">IF(AND(ISNUMBER(E39),ISNUMBER(G39)),G39-E39,"")</f>
        <v>5</v>
      </c>
      <c r="I39" s="12" t="n">
        <f aca="false">IFERROR(IF(D39="Vehicle",INDEX($N$4:$N$7,MATCH(C39,$M$4:$M$7,0)),INDEX($O$4:$O$7,MATCH(C39,$M$4:$M$7,0))),"")</f>
        <v>0.06</v>
      </c>
      <c r="J39" s="17" t="n">
        <f aca="false">IFERROR(F39*(1+I39)^H39,"")</f>
        <v>275674.4689856</v>
      </c>
    </row>
    <row r="40" customFormat="false" ht="15" hidden="false" customHeight="false" outlineLevel="0" collapsed="false">
      <c r="A40" s="6" t="s">
        <v>52</v>
      </c>
      <c r="B40" s="6" t="s">
        <v>53</v>
      </c>
      <c r="C40" s="7" t="s">
        <v>23</v>
      </c>
      <c r="D40" s="8" t="s">
        <v>17</v>
      </c>
      <c r="E40" s="9" t="n">
        <v>2019</v>
      </c>
      <c r="F40" s="10" t="n">
        <v>37552</v>
      </c>
      <c r="G40" s="9" t="n">
        <v>2026</v>
      </c>
      <c r="H40" s="11" t="n">
        <f aca="false">IF(AND(ISNUMBER(E40),ISNUMBER(G40)),G40-E40,"")</f>
        <v>7</v>
      </c>
      <c r="I40" s="12" t="n">
        <f aca="false">IFERROR(IF(D40="Vehicle",INDEX($N$4:$N$7,MATCH(C40,$M$4:$M$7,0)),INDEX($O$4:$O$7,MATCH(C40,$M$4:$M$7,0))),"")</f>
        <v>0.08</v>
      </c>
      <c r="J40" s="13" t="n">
        <f aca="false">IFERROR(F40*(1+I40)^H40,"")</f>
        <v>64357.5289412086</v>
      </c>
    </row>
    <row r="41" customFormat="false" ht="15" hidden="false" customHeight="false" outlineLevel="0" collapsed="false">
      <c r="A41" s="6" t="s">
        <v>52</v>
      </c>
      <c r="B41" s="6" t="s">
        <v>53</v>
      </c>
      <c r="C41" s="7" t="s">
        <v>23</v>
      </c>
      <c r="D41" s="16" t="s">
        <v>18</v>
      </c>
      <c r="E41" s="9" t="n">
        <v>2019</v>
      </c>
      <c r="F41" s="10" t="n">
        <v>46006</v>
      </c>
      <c r="G41" s="9" t="n">
        <v>2026</v>
      </c>
      <c r="H41" s="11" t="n">
        <f aca="false">IF(AND(ISNUMBER(E41),ISNUMBER(G41)),G41-E41,"")</f>
        <v>7</v>
      </c>
      <c r="I41" s="12" t="n">
        <f aca="false">IFERROR(IF(D41="Vehicle",INDEX($N$4:$N$7,MATCH(C41,$M$4:$M$7,0)),INDEX($O$4:$O$7,MATCH(C41,$M$4:$M$7,0))),"")</f>
        <v>0.06</v>
      </c>
      <c r="J41" s="17" t="n">
        <f aca="false">IFERROR(F41*(1+I41)^H41,"")</f>
        <v>69176.0136951565</v>
      </c>
    </row>
    <row r="42" customFormat="false" ht="15" hidden="false" customHeight="false" outlineLevel="0" collapsed="false">
      <c r="A42" s="6" t="s">
        <v>54</v>
      </c>
      <c r="B42" s="6" t="s">
        <v>55</v>
      </c>
      <c r="C42" s="7" t="s">
        <v>23</v>
      </c>
      <c r="D42" s="8" t="s">
        <v>17</v>
      </c>
      <c r="E42" s="9" t="n">
        <v>2023</v>
      </c>
      <c r="F42" s="10" t="n">
        <v>53542</v>
      </c>
      <c r="G42" s="9" t="n">
        <v>2031</v>
      </c>
      <c r="H42" s="11" t="n">
        <f aca="false">IF(AND(ISNUMBER(E42),ISNUMBER(G42)),G42-E42,"")</f>
        <v>8</v>
      </c>
      <c r="I42" s="12" t="n">
        <f aca="false">IFERROR(IF(D42="Vehicle",INDEX($N$4:$N$7,MATCH(C42,$M$4:$M$7,0)),INDEX($O$4:$O$7,MATCH(C42,$M$4:$M$7,0))),"")</f>
        <v>0.08</v>
      </c>
      <c r="J42" s="13" t="n">
        <f aca="false">IFERROR(F42*(1+I42)^H42,"")</f>
        <v>99102.5053189126</v>
      </c>
    </row>
    <row r="43" customFormat="false" ht="15" hidden="false" customHeight="false" outlineLevel="0" collapsed="false">
      <c r="A43" s="6" t="s">
        <v>54</v>
      </c>
      <c r="B43" s="6" t="s">
        <v>55</v>
      </c>
      <c r="C43" s="7" t="s">
        <v>23</v>
      </c>
      <c r="D43" s="16" t="s">
        <v>18</v>
      </c>
      <c r="E43" s="9" t="n">
        <v>2023</v>
      </c>
      <c r="F43" s="10" t="n">
        <v>46006</v>
      </c>
      <c r="G43" s="9" t="n">
        <v>2031</v>
      </c>
      <c r="H43" s="11" t="n">
        <f aca="false">IF(AND(ISNUMBER(E43),ISNUMBER(G43)),G43-E43,"")</f>
        <v>8</v>
      </c>
      <c r="I43" s="12" t="n">
        <f aca="false">IFERROR(IF(D43="Vehicle",INDEX($N$4:$N$7,MATCH(C43,$M$4:$M$7,0)),INDEX($O$4:$O$7,MATCH(C43,$M$4:$M$7,0))),"")</f>
        <v>0.06</v>
      </c>
      <c r="J43" s="17" t="n">
        <f aca="false">IFERROR(F43*(1+I43)^H43,"")</f>
        <v>73326.5745168659</v>
      </c>
    </row>
    <row r="44" customFormat="false" ht="15" hidden="false" customHeight="false" outlineLevel="0" collapsed="false">
      <c r="A44" s="6" t="s">
        <v>56</v>
      </c>
      <c r="B44" s="6" t="s">
        <v>57</v>
      </c>
      <c r="C44" s="7" t="s">
        <v>23</v>
      </c>
      <c r="D44" s="8" t="s">
        <v>17</v>
      </c>
      <c r="E44" s="9" t="n">
        <v>2019</v>
      </c>
      <c r="F44" s="10" t="n">
        <v>37457</v>
      </c>
      <c r="G44" s="9" t="n">
        <v>2026</v>
      </c>
      <c r="H44" s="11" t="n">
        <f aca="false">IF(AND(ISNUMBER(E44),ISNUMBER(G44)),G44-E44,"")</f>
        <v>7</v>
      </c>
      <c r="I44" s="12" t="n">
        <f aca="false">IFERROR(IF(D44="Vehicle",INDEX($N$4:$N$7,MATCH(C44,$M$4:$M$7,0)),INDEX($O$4:$O$7,MATCH(C44,$M$4:$M$7,0))),"")</f>
        <v>0.08</v>
      </c>
      <c r="J44" s="13" t="n">
        <f aca="false">IFERROR(F44*(1+I44)^H44,"")</f>
        <v>64194.7156356745</v>
      </c>
    </row>
    <row r="45" customFormat="false" ht="15" hidden="false" customHeight="false" outlineLevel="0" collapsed="false">
      <c r="A45" s="6" t="s">
        <v>56</v>
      </c>
      <c r="B45" s="6" t="s">
        <v>57</v>
      </c>
      <c r="C45" s="7" t="s">
        <v>23</v>
      </c>
      <c r="D45" s="16" t="s">
        <v>18</v>
      </c>
      <c r="E45" s="9" t="n">
        <v>2019</v>
      </c>
      <c r="F45" s="10" t="n">
        <v>46006</v>
      </c>
      <c r="G45" s="9" t="n">
        <v>2026</v>
      </c>
      <c r="H45" s="11" t="n">
        <f aca="false">IF(AND(ISNUMBER(E45),ISNUMBER(G45)),G45-E45,"")</f>
        <v>7</v>
      </c>
      <c r="I45" s="12" t="n">
        <f aca="false">IFERROR(IF(D45="Vehicle",INDEX($N$4:$N$7,MATCH(C45,$M$4:$M$7,0)),INDEX($O$4:$O$7,MATCH(C45,$M$4:$M$7,0))),"")</f>
        <v>0.06</v>
      </c>
      <c r="J45" s="17" t="n">
        <f aca="false">IFERROR(F45*(1+I45)^H45,"")</f>
        <v>69176.0136951565</v>
      </c>
    </row>
    <row r="46" customFormat="false" ht="15" hidden="false" customHeight="false" outlineLevel="0" collapsed="false">
      <c r="A46" s="6" t="s">
        <v>58</v>
      </c>
      <c r="B46" s="6" t="s">
        <v>59</v>
      </c>
      <c r="C46" s="7" t="s">
        <v>23</v>
      </c>
      <c r="D46" s="8" t="s">
        <v>17</v>
      </c>
      <c r="E46" s="9" t="n">
        <v>2018</v>
      </c>
      <c r="F46" s="10" t="n">
        <v>28552</v>
      </c>
      <c r="G46" s="9" t="n">
        <v>2025</v>
      </c>
      <c r="H46" s="11" t="n">
        <f aca="false">IF(AND(ISNUMBER(E46),ISNUMBER(G46)),G46-E46,"")</f>
        <v>7</v>
      </c>
      <c r="I46" s="12" t="n">
        <f aca="false">IFERROR(IF(D46="Vehicle",INDEX($N$4:$N$7,MATCH(C46,$M$4:$M$7,0)),INDEX($O$4:$O$7,MATCH(C46,$M$4:$M$7,0))),"")</f>
        <v>0.08</v>
      </c>
      <c r="J46" s="13" t="n">
        <f aca="false">IFERROR(F46*(1+I46)^H46,"")</f>
        <v>48933.1105221929</v>
      </c>
    </row>
    <row r="47" customFormat="false" ht="15" hidden="false" customHeight="false" outlineLevel="0" collapsed="false">
      <c r="A47" s="6" t="s">
        <v>58</v>
      </c>
      <c r="B47" s="6" t="s">
        <v>59</v>
      </c>
      <c r="C47" s="7" t="s">
        <v>23</v>
      </c>
      <c r="D47" s="16" t="s">
        <v>18</v>
      </c>
      <c r="E47" s="9" t="n">
        <v>2018</v>
      </c>
      <c r="F47" s="10" t="n">
        <v>9500</v>
      </c>
      <c r="G47" s="9" t="n">
        <v>2025</v>
      </c>
      <c r="H47" s="11" t="n">
        <f aca="false">IF(AND(ISNUMBER(E47),ISNUMBER(G47)),G47-E47,"")</f>
        <v>7</v>
      </c>
      <c r="I47" s="12" t="n">
        <f aca="false">IFERROR(IF(D47="Vehicle",INDEX($N$4:$N$7,MATCH(C47,$M$4:$M$7,0)),INDEX($O$4:$O$7,MATCH(C47,$M$4:$M$7,0))),"")</f>
        <v>0.06</v>
      </c>
      <c r="J47" s="17" t="n">
        <f aca="false">IFERROR(F47*(1+I47)^H47,"")</f>
        <v>14284.4874604179</v>
      </c>
    </row>
    <row r="48" customFormat="false" ht="15" hidden="false" customHeight="false" outlineLevel="0" collapsed="false">
      <c r="A48" s="6" t="s">
        <v>60</v>
      </c>
      <c r="B48" s="6" t="s">
        <v>61</v>
      </c>
      <c r="C48" s="7" t="s">
        <v>23</v>
      </c>
      <c r="D48" s="8" t="s">
        <v>17</v>
      </c>
      <c r="E48" s="9" t="n">
        <v>2024</v>
      </c>
      <c r="F48" s="10" t="n">
        <v>53542</v>
      </c>
      <c r="G48" s="9" t="n">
        <v>2031</v>
      </c>
      <c r="H48" s="11" t="n">
        <f aca="false">IF(AND(ISNUMBER(E48),ISNUMBER(G48)),G48-E48,"")</f>
        <v>7</v>
      </c>
      <c r="I48" s="12" t="n">
        <f aca="false">IFERROR(IF(D48="Vehicle",INDEX($N$4:$N$7,MATCH(C48,$M$4:$M$7,0)),INDEX($O$4:$O$7,MATCH(C48,$M$4:$M$7,0))),"")</f>
        <v>0.08</v>
      </c>
      <c r="J48" s="13" t="n">
        <f aca="false">IFERROR(F48*(1+I48)^H48,"")</f>
        <v>91761.5789989931</v>
      </c>
    </row>
    <row r="49" customFormat="false" ht="15" hidden="false" customHeight="false" outlineLevel="0" collapsed="false">
      <c r="A49" s="6" t="s">
        <v>60</v>
      </c>
      <c r="B49" s="6" t="s">
        <v>61</v>
      </c>
      <c r="C49" s="7" t="s">
        <v>23</v>
      </c>
      <c r="D49" s="16" t="s">
        <v>18</v>
      </c>
      <c r="E49" s="9" t="n">
        <v>2024</v>
      </c>
      <c r="F49" s="10" t="n">
        <v>46006</v>
      </c>
      <c r="G49" s="9" t="n">
        <v>2031</v>
      </c>
      <c r="H49" s="11" t="n">
        <f aca="false">IF(AND(ISNUMBER(E49),ISNUMBER(G49)),G49-E49,"")</f>
        <v>7</v>
      </c>
      <c r="I49" s="12" t="n">
        <f aca="false">IFERROR(IF(D49="Vehicle",INDEX($N$4:$N$7,MATCH(C49,$M$4:$M$7,0)),INDEX($O$4:$O$7,MATCH(C49,$M$4:$M$7,0))),"")</f>
        <v>0.06</v>
      </c>
      <c r="J49" s="17" t="n">
        <f aca="false">IFERROR(F49*(1+I49)^H49,"")</f>
        <v>69176.0136951565</v>
      </c>
    </row>
    <row r="50" customFormat="false" ht="15" hidden="false" customHeight="false" outlineLevel="0" collapsed="false">
      <c r="A50" s="6" t="s">
        <v>62</v>
      </c>
      <c r="B50" s="6" t="s">
        <v>63</v>
      </c>
      <c r="C50" s="7" t="s">
        <v>23</v>
      </c>
      <c r="D50" s="8" t="s">
        <v>17</v>
      </c>
      <c r="E50" s="9" t="n">
        <v>2019</v>
      </c>
      <c r="F50" s="10" t="n">
        <v>37457</v>
      </c>
      <c r="G50" s="9" t="n">
        <v>2026</v>
      </c>
      <c r="H50" s="11" t="n">
        <f aca="false">IF(AND(ISNUMBER(E50),ISNUMBER(G50)),G50-E50,"")</f>
        <v>7</v>
      </c>
      <c r="I50" s="12" t="n">
        <f aca="false">IFERROR(IF(D50="Vehicle",INDEX($N$4:$N$7,MATCH(C50,$M$4:$M$7,0)),INDEX($O$4:$O$7,MATCH(C50,$M$4:$M$7,0))),"")</f>
        <v>0.08</v>
      </c>
      <c r="J50" s="13" t="n">
        <f aca="false">IFERROR(F50*(1+I50)^H50,"")</f>
        <v>64194.7156356745</v>
      </c>
    </row>
    <row r="51" customFormat="false" ht="15" hidden="false" customHeight="false" outlineLevel="0" collapsed="false">
      <c r="A51" s="6" t="s">
        <v>62</v>
      </c>
      <c r="B51" s="6" t="s">
        <v>63</v>
      </c>
      <c r="C51" s="7" t="s">
        <v>23</v>
      </c>
      <c r="D51" s="16" t="s">
        <v>18</v>
      </c>
      <c r="E51" s="9" t="n">
        <v>2019</v>
      </c>
      <c r="F51" s="10" t="n">
        <v>46001</v>
      </c>
      <c r="G51" s="9" t="n">
        <v>2026</v>
      </c>
      <c r="H51" s="11" t="n">
        <f aca="false">IF(AND(ISNUMBER(E51),ISNUMBER(G51)),G51-E51,"")</f>
        <v>7</v>
      </c>
      <c r="I51" s="12" t="n">
        <f aca="false">IFERROR(IF(D51="Vehicle",INDEX($N$4:$N$7,MATCH(C51,$M$4:$M$7,0)),INDEX($O$4:$O$7,MATCH(C51,$M$4:$M$7,0))),"")</f>
        <v>0.06</v>
      </c>
      <c r="J51" s="17" t="n">
        <f aca="false">IFERROR(F51*(1+I51)^H51,"")</f>
        <v>69168.4955438616</v>
      </c>
    </row>
    <row r="52" customFormat="false" ht="15" hidden="false" customHeight="false" outlineLevel="0" collapsed="false">
      <c r="A52" s="6" t="s">
        <v>64</v>
      </c>
      <c r="B52" s="6" t="s">
        <v>65</v>
      </c>
      <c r="C52" s="7" t="s">
        <v>23</v>
      </c>
      <c r="D52" s="8" t="s">
        <v>17</v>
      </c>
      <c r="E52" s="9" t="n">
        <v>2023</v>
      </c>
      <c r="F52" s="10" t="n">
        <v>48137</v>
      </c>
      <c r="G52" s="9" t="n">
        <v>2030</v>
      </c>
      <c r="H52" s="11" t="n">
        <f aca="false">IF(AND(ISNUMBER(E52),ISNUMBER(G52)),G52-E52,"")</f>
        <v>7</v>
      </c>
      <c r="I52" s="12" t="n">
        <f aca="false">IFERROR(IF(D52="Vehicle",INDEX($N$4:$N$7,MATCH(C52,$M$4:$M$7,0)),INDEX($O$4:$O$7,MATCH(C52,$M$4:$M$7,0))),"")</f>
        <v>0.08</v>
      </c>
      <c r="J52" s="13" t="n">
        <f aca="false">IFERROR(F52*(1+I52)^H52,"")</f>
        <v>82498.3588262398</v>
      </c>
    </row>
    <row r="53" customFormat="false" ht="15" hidden="false" customHeight="false" outlineLevel="0" collapsed="false">
      <c r="A53" s="6" t="s">
        <v>64</v>
      </c>
      <c r="B53" s="6" t="s">
        <v>65</v>
      </c>
      <c r="C53" s="7" t="s">
        <v>23</v>
      </c>
      <c r="D53" s="16" t="s">
        <v>18</v>
      </c>
      <c r="E53" s="9" t="n">
        <v>2023</v>
      </c>
      <c r="F53" s="10" t="n">
        <v>46001</v>
      </c>
      <c r="G53" s="9" t="n">
        <v>2030</v>
      </c>
      <c r="H53" s="11" t="n">
        <f aca="false">IF(AND(ISNUMBER(E53),ISNUMBER(G53)),G53-E53,"")</f>
        <v>7</v>
      </c>
      <c r="I53" s="12" t="n">
        <f aca="false">IFERROR(IF(D53="Vehicle",INDEX($N$4:$N$7,MATCH(C53,$M$4:$M$7,0)),INDEX($O$4:$O$7,MATCH(C53,$M$4:$M$7,0))),"")</f>
        <v>0.06</v>
      </c>
      <c r="J53" s="17" t="n">
        <f aca="false">IFERROR(F53*(1+I53)^H53,"")</f>
        <v>69168.4955438616</v>
      </c>
    </row>
    <row r="54" customFormat="false" ht="15" hidden="false" customHeight="false" outlineLevel="0" collapsed="false">
      <c r="A54" s="6" t="s">
        <v>24</v>
      </c>
      <c r="B54" s="6" t="s">
        <v>66</v>
      </c>
      <c r="C54" s="7" t="s">
        <v>23</v>
      </c>
      <c r="D54" s="8" t="s">
        <v>17</v>
      </c>
      <c r="E54" s="9" t="n">
        <v>2026</v>
      </c>
      <c r="F54" s="10" t="n">
        <v>44939</v>
      </c>
      <c r="G54" s="9" t="n">
        <v>2033</v>
      </c>
      <c r="H54" s="11" t="n">
        <f aca="false">IF(AND(ISNUMBER(E54),ISNUMBER(G54)),G54-E54,"")</f>
        <v>7</v>
      </c>
      <c r="I54" s="12" t="n">
        <f aca="false">IFERROR(IF(D54="Vehicle",INDEX($N$4:$N$7,MATCH(C54,$M$4:$M$7,0)),INDEX($O$4:$O$7,MATCH(C54,$M$4:$M$7,0))),"")</f>
        <v>0.08</v>
      </c>
      <c r="J54" s="13" t="n">
        <f aca="false">IFERROR(F54*(1+I54)^H54,"")</f>
        <v>77017.5488146829</v>
      </c>
    </row>
    <row r="55" customFormat="false" ht="15" hidden="false" customHeight="false" outlineLevel="0" collapsed="false">
      <c r="A55" s="6" t="s">
        <v>24</v>
      </c>
      <c r="B55" s="6" t="s">
        <v>66</v>
      </c>
      <c r="C55" s="7" t="s">
        <v>23</v>
      </c>
      <c r="D55" s="16" t="s">
        <v>18</v>
      </c>
      <c r="E55" s="9" t="n">
        <v>2026</v>
      </c>
      <c r="F55" s="10" t="n">
        <v>46001</v>
      </c>
      <c r="G55" s="9" t="n">
        <v>2033</v>
      </c>
      <c r="H55" s="11" t="n">
        <f aca="false">IF(AND(ISNUMBER(E55),ISNUMBER(G55)),G55-E55,"")</f>
        <v>7</v>
      </c>
      <c r="I55" s="12" t="n">
        <f aca="false">IFERROR(IF(D55="Vehicle",INDEX($N$4:$N$7,MATCH(C55,$M$4:$M$7,0)),INDEX($O$4:$O$7,MATCH(C55,$M$4:$M$7,0))),"")</f>
        <v>0.06</v>
      </c>
      <c r="J55" s="17" t="n">
        <f aca="false">IFERROR(F55*(1+I55)^H55,"")</f>
        <v>69168.4955438616</v>
      </c>
    </row>
    <row r="56" customFormat="false" ht="15" hidden="false" customHeight="false" outlineLevel="0" collapsed="false">
      <c r="A56" s="6" t="s">
        <v>67</v>
      </c>
      <c r="B56" s="6" t="s">
        <v>68</v>
      </c>
      <c r="C56" s="7" t="s">
        <v>23</v>
      </c>
      <c r="D56" s="8" t="s">
        <v>17</v>
      </c>
      <c r="E56" s="9" t="n">
        <v>2019</v>
      </c>
      <c r="F56" s="10" t="n">
        <v>37457</v>
      </c>
      <c r="G56" s="9" t="n">
        <v>2026</v>
      </c>
      <c r="H56" s="11" t="n">
        <f aca="false">IF(AND(ISNUMBER(E56),ISNUMBER(G56)),G56-E56,"")</f>
        <v>7</v>
      </c>
      <c r="I56" s="12" t="n">
        <f aca="false">IFERROR(IF(D56="Vehicle",INDEX($N$4:$N$7,MATCH(C56,$M$4:$M$7,0)),INDEX($O$4:$O$7,MATCH(C56,$M$4:$M$7,0))),"")</f>
        <v>0.08</v>
      </c>
      <c r="J56" s="13" t="n">
        <f aca="false">IFERROR(F56*(1+I56)^H56,"")</f>
        <v>64194.7156356745</v>
      </c>
    </row>
    <row r="57" customFormat="false" ht="15" hidden="false" customHeight="false" outlineLevel="0" collapsed="false">
      <c r="A57" s="6" t="s">
        <v>67</v>
      </c>
      <c r="B57" s="6" t="s">
        <v>68</v>
      </c>
      <c r="C57" s="7" t="s">
        <v>23</v>
      </c>
      <c r="D57" s="16" t="s">
        <v>18</v>
      </c>
      <c r="E57" s="9" t="n">
        <v>2019</v>
      </c>
      <c r="F57" s="10" t="n">
        <v>46001</v>
      </c>
      <c r="G57" s="9" t="n">
        <v>2026</v>
      </c>
      <c r="H57" s="11" t="n">
        <f aca="false">IF(AND(ISNUMBER(E57),ISNUMBER(G57)),G57-E57,"")</f>
        <v>7</v>
      </c>
      <c r="I57" s="12" t="n">
        <f aca="false">IFERROR(IF(D57="Vehicle",INDEX($N$4:$N$7,MATCH(C57,$M$4:$M$7,0)),INDEX($O$4:$O$7,MATCH(C57,$M$4:$M$7,0))),"")</f>
        <v>0.06</v>
      </c>
      <c r="J57" s="17" t="n">
        <f aca="false">IFERROR(F57*(1+I57)^H57,"")</f>
        <v>69168.4955438616</v>
      </c>
    </row>
    <row r="58" customFormat="false" ht="15" hidden="false" customHeight="false" outlineLevel="0" collapsed="false">
      <c r="A58" s="6" t="s">
        <v>24</v>
      </c>
      <c r="B58" s="6" t="s">
        <v>69</v>
      </c>
      <c r="C58" s="7" t="s">
        <v>23</v>
      </c>
      <c r="D58" s="8" t="s">
        <v>17</v>
      </c>
      <c r="E58" s="9" t="n">
        <v>2026</v>
      </c>
      <c r="F58" s="10" t="n">
        <v>44939</v>
      </c>
      <c r="G58" s="9" t="n">
        <v>2033</v>
      </c>
      <c r="H58" s="11" t="n">
        <f aca="false">IF(AND(ISNUMBER(E58),ISNUMBER(G58)),G58-E58,"")</f>
        <v>7</v>
      </c>
      <c r="I58" s="12" t="n">
        <f aca="false">IFERROR(IF(D58="Vehicle",INDEX($N$4:$N$7,MATCH(C58,$M$4:$M$7,0)),INDEX($O$4:$O$7,MATCH(C58,$M$4:$M$7,0))),"")</f>
        <v>0.08</v>
      </c>
      <c r="J58" s="13" t="n">
        <f aca="false">IFERROR(F58*(1+I58)^H58,"")</f>
        <v>77017.5488146829</v>
      </c>
    </row>
    <row r="59" customFormat="false" ht="15" hidden="false" customHeight="false" outlineLevel="0" collapsed="false">
      <c r="A59" s="6" t="s">
        <v>24</v>
      </c>
      <c r="B59" s="6" t="s">
        <v>69</v>
      </c>
      <c r="C59" s="7" t="s">
        <v>23</v>
      </c>
      <c r="D59" s="16" t="s">
        <v>18</v>
      </c>
      <c r="E59" s="9" t="n">
        <v>2026</v>
      </c>
      <c r="F59" s="10" t="n">
        <v>46001</v>
      </c>
      <c r="G59" s="9" t="n">
        <v>2033</v>
      </c>
      <c r="H59" s="11" t="n">
        <f aca="false">IF(AND(ISNUMBER(E59),ISNUMBER(G59)),G59-E59,"")</f>
        <v>7</v>
      </c>
      <c r="I59" s="12" t="n">
        <f aca="false">IFERROR(IF(D59="Vehicle",INDEX($N$4:$N$7,MATCH(C59,$M$4:$M$7,0)),INDEX($O$4:$O$7,MATCH(C59,$M$4:$M$7,0))),"")</f>
        <v>0.06</v>
      </c>
      <c r="J59" s="17" t="n">
        <f aca="false">IFERROR(F59*(1+I59)^H59,"")</f>
        <v>69168.4955438616</v>
      </c>
    </row>
    <row r="60" customFormat="false" ht="15" hidden="false" customHeight="false" outlineLevel="0" collapsed="false">
      <c r="A60" s="6" t="s">
        <v>70</v>
      </c>
      <c r="B60" s="6" t="s">
        <v>71</v>
      </c>
      <c r="C60" s="7" t="s">
        <v>23</v>
      </c>
      <c r="D60" s="8" t="s">
        <v>17</v>
      </c>
      <c r="E60" s="9" t="n">
        <v>2018</v>
      </c>
      <c r="F60" s="10" t="n">
        <v>28552</v>
      </c>
      <c r="G60" s="9" t="n">
        <v>2025</v>
      </c>
      <c r="H60" s="11" t="n">
        <f aca="false">IF(AND(ISNUMBER(E60),ISNUMBER(G60)),G60-E60,"")</f>
        <v>7</v>
      </c>
      <c r="I60" s="12" t="n">
        <f aca="false">IFERROR(IF(D60="Vehicle",INDEX($N$4:$N$7,MATCH(C60,$M$4:$M$7,0)),INDEX($O$4:$O$7,MATCH(C60,$M$4:$M$7,0))),"")</f>
        <v>0.08</v>
      </c>
      <c r="J60" s="13" t="n">
        <f aca="false">IFERROR(F60*(1+I60)^H60,"")</f>
        <v>48933.1105221929</v>
      </c>
    </row>
    <row r="61" customFormat="false" ht="15" hidden="false" customHeight="false" outlineLevel="0" collapsed="false">
      <c r="A61" s="6" t="s">
        <v>70</v>
      </c>
      <c r="B61" s="6" t="s">
        <v>71</v>
      </c>
      <c r="C61" s="7" t="s">
        <v>23</v>
      </c>
      <c r="D61" s="16" t="s">
        <v>18</v>
      </c>
      <c r="E61" s="9" t="n">
        <v>2018</v>
      </c>
      <c r="F61" s="10" t="n">
        <v>46001</v>
      </c>
      <c r="G61" s="9" t="n">
        <v>2025</v>
      </c>
      <c r="H61" s="11" t="n">
        <f aca="false">IF(AND(ISNUMBER(E61),ISNUMBER(G61)),G61-E61,"")</f>
        <v>7</v>
      </c>
      <c r="I61" s="12" t="n">
        <f aca="false">IFERROR(IF(D61="Vehicle",INDEX($N$4:$N$7,MATCH(C61,$M$4:$M$7,0)),INDEX($O$4:$O$7,MATCH(C61,$M$4:$M$7,0))),"")</f>
        <v>0.06</v>
      </c>
      <c r="J61" s="17" t="n">
        <f aca="false">IFERROR(F61*(1+I61)^H61,"")</f>
        <v>69168.4955438616</v>
      </c>
    </row>
    <row r="62" customFormat="false" ht="15" hidden="false" customHeight="false" outlineLevel="0" collapsed="false">
      <c r="A62" s="6" t="s">
        <v>72</v>
      </c>
      <c r="B62" s="6" t="s">
        <v>73</v>
      </c>
      <c r="C62" s="7" t="s">
        <v>23</v>
      </c>
      <c r="D62" s="8" t="s">
        <v>17</v>
      </c>
      <c r="E62" s="9" t="n">
        <v>2022</v>
      </c>
      <c r="F62" s="10" t="n">
        <v>79448</v>
      </c>
      <c r="G62" s="9" t="n">
        <v>2029</v>
      </c>
      <c r="H62" s="11" t="n">
        <f aca="false">IF(AND(ISNUMBER(E62),ISNUMBER(G62)),G62-E62,"")</f>
        <v>7</v>
      </c>
      <c r="I62" s="12" t="n">
        <f aca="false">IFERROR(IF(D62="Vehicle",INDEX($N$4:$N$7,MATCH(C62,$M$4:$M$7,0)),INDEX($O$4:$O$7,MATCH(C62,$M$4:$M$7,0))),"")</f>
        <v>0.08</v>
      </c>
      <c r="J62" s="13" t="n">
        <f aca="false">IFERROR(F62*(1+I62)^H62,"")</f>
        <v>136159.910505995</v>
      </c>
    </row>
    <row r="63" customFormat="false" ht="15" hidden="false" customHeight="false" outlineLevel="0" collapsed="false">
      <c r="A63" s="6" t="s">
        <v>72</v>
      </c>
      <c r="B63" s="6" t="s">
        <v>73</v>
      </c>
      <c r="C63" s="7" t="s">
        <v>23</v>
      </c>
      <c r="D63" s="16" t="s">
        <v>18</v>
      </c>
      <c r="E63" s="9" t="n">
        <v>2022</v>
      </c>
      <c r="F63" s="10" t="n">
        <v>82436</v>
      </c>
      <c r="G63" s="9" t="n">
        <v>2029</v>
      </c>
      <c r="H63" s="11" t="n">
        <f aca="false">IF(AND(ISNUMBER(E63),ISNUMBER(G63)),G63-E63,"")</f>
        <v>7</v>
      </c>
      <c r="I63" s="12" t="n">
        <f aca="false">IFERROR(IF(D63="Vehicle",INDEX($N$4:$N$7,MATCH(C63,$M$4:$M$7,0)),INDEX($O$4:$O$7,MATCH(C63,$M$4:$M$7,0))),"")</f>
        <v>0.06</v>
      </c>
      <c r="J63" s="17" t="n">
        <f aca="false">IFERROR(F63*(1+I63)^H63,"")</f>
        <v>123953.264030212</v>
      </c>
    </row>
    <row r="64" customFormat="false" ht="15" hidden="false" customHeight="false" outlineLevel="0" collapsed="false">
      <c r="A64" s="6" t="s">
        <v>74</v>
      </c>
      <c r="B64" s="6" t="s">
        <v>75</v>
      </c>
      <c r="C64" s="7" t="s">
        <v>23</v>
      </c>
      <c r="D64" s="8" t="s">
        <v>17</v>
      </c>
      <c r="E64" s="9" t="n">
        <v>2022</v>
      </c>
      <c r="F64" s="10" t="n">
        <v>91359</v>
      </c>
      <c r="G64" s="9" t="n">
        <v>2029</v>
      </c>
      <c r="H64" s="11" t="n">
        <f aca="false">IF(AND(ISNUMBER(E64),ISNUMBER(G64)),G64-E64,"")</f>
        <v>7</v>
      </c>
      <c r="I64" s="12" t="n">
        <f aca="false">IFERROR(IF(D64="Vehicle",INDEX($N$4:$N$7,MATCH(C64,$M$4:$M$7,0)),INDEX($O$4:$O$7,MATCH(C64,$M$4:$M$7,0))),"")</f>
        <v>0.08</v>
      </c>
      <c r="J64" s="13" t="n">
        <f aca="false">IFERROR(F64*(1+I64)^H64,"")</f>
        <v>156573.271371428</v>
      </c>
    </row>
    <row r="65" customFormat="false" ht="15" hidden="false" customHeight="false" outlineLevel="0" collapsed="false">
      <c r="A65" s="6" t="s">
        <v>74</v>
      </c>
      <c r="B65" s="6" t="s">
        <v>75</v>
      </c>
      <c r="C65" s="7" t="s">
        <v>23</v>
      </c>
      <c r="D65" s="16" t="s">
        <v>18</v>
      </c>
      <c r="E65" s="9" t="n">
        <v>2022</v>
      </c>
      <c r="F65" s="10" t="n">
        <v>82436</v>
      </c>
      <c r="G65" s="9" t="n">
        <v>2029</v>
      </c>
      <c r="H65" s="11" t="n">
        <f aca="false">IF(AND(ISNUMBER(E65),ISNUMBER(G65)),G65-E65,"")</f>
        <v>7</v>
      </c>
      <c r="I65" s="12" t="n">
        <f aca="false">IFERROR(IF(D65="Vehicle",INDEX($N$4:$N$7,MATCH(C65,$M$4:$M$7,0)),INDEX($O$4:$O$7,MATCH(C65,$M$4:$M$7,0))),"")</f>
        <v>0.06</v>
      </c>
      <c r="J65" s="17" t="n">
        <f aca="false">IFERROR(F65*(1+I65)^H65,"")</f>
        <v>123953.264030212</v>
      </c>
    </row>
    <row r="66" customFormat="false" ht="15" hidden="false" customHeight="false" outlineLevel="0" collapsed="false">
      <c r="A66" s="6" t="s">
        <v>76</v>
      </c>
      <c r="B66" s="6" t="s">
        <v>77</v>
      </c>
      <c r="C66" s="7" t="s">
        <v>23</v>
      </c>
      <c r="D66" s="8" t="s">
        <v>17</v>
      </c>
      <c r="E66" s="9" t="n">
        <v>2024</v>
      </c>
      <c r="F66" s="10" t="n">
        <v>61460</v>
      </c>
      <c r="G66" s="9" t="n">
        <v>2031</v>
      </c>
      <c r="H66" s="11" t="n">
        <f aca="false">IF(AND(ISNUMBER(E66),ISNUMBER(G66)),G66-E66,"")</f>
        <v>7</v>
      </c>
      <c r="I66" s="12" t="n">
        <f aca="false">IFERROR(IF(D66="Vehicle",INDEX($N$4:$N$7,MATCH(C66,$M$4:$M$7,0)),INDEX($O$4:$O$7,MATCH(C66,$M$4:$M$7,0))),"")</f>
        <v>0.08</v>
      </c>
      <c r="J66" s="13" t="n">
        <f aca="false">IFERROR(F66*(1+I66)^H66,"")</f>
        <v>105331.639559189</v>
      </c>
    </row>
    <row r="67" customFormat="false" ht="15" hidden="false" customHeight="false" outlineLevel="0" collapsed="false">
      <c r="A67" s="6" t="s">
        <v>76</v>
      </c>
      <c r="B67" s="6" t="s">
        <v>77</v>
      </c>
      <c r="C67" s="7" t="s">
        <v>23</v>
      </c>
      <c r="D67" s="16" t="s">
        <v>18</v>
      </c>
      <c r="E67" s="9" t="n">
        <v>2024</v>
      </c>
      <c r="F67" s="10" t="n">
        <v>82436</v>
      </c>
      <c r="G67" s="9" t="n">
        <v>2031</v>
      </c>
      <c r="H67" s="11" t="n">
        <f aca="false">IF(AND(ISNUMBER(E67),ISNUMBER(G67)),G67-E67,"")</f>
        <v>7</v>
      </c>
      <c r="I67" s="12" t="n">
        <f aca="false">IFERROR(IF(D67="Vehicle",INDEX($N$4:$N$7,MATCH(C67,$M$4:$M$7,0)),INDEX($O$4:$O$7,MATCH(C67,$M$4:$M$7,0))),"")</f>
        <v>0.06</v>
      </c>
      <c r="J67" s="17" t="n">
        <f aca="false">IFERROR(F67*(1+I67)^H67,"")</f>
        <v>123953.264030212</v>
      </c>
    </row>
    <row r="68" customFormat="false" ht="15" hidden="false" customHeight="false" outlineLevel="0" collapsed="false">
      <c r="A68" s="6" t="s">
        <v>78</v>
      </c>
      <c r="B68" s="6" t="s">
        <v>79</v>
      </c>
      <c r="C68" s="7" t="s">
        <v>23</v>
      </c>
      <c r="D68" s="8" t="s">
        <v>17</v>
      </c>
      <c r="E68" s="9" t="n">
        <v>2016</v>
      </c>
      <c r="F68" s="10" t="n">
        <v>35197</v>
      </c>
      <c r="G68" s="9" t="n">
        <v>2022</v>
      </c>
      <c r="H68" s="11" t="n">
        <f aca="false">IF(AND(ISNUMBER(E68),ISNUMBER(G68)),G68-E68,"")</f>
        <v>6</v>
      </c>
      <c r="I68" s="12" t="n">
        <f aca="false">IFERROR(IF(D68="Vehicle",INDEX($N$4:$N$7,MATCH(C68,$M$4:$M$7,0)),INDEX($O$4:$O$7,MATCH(C68,$M$4:$M$7,0))),"")</f>
        <v>0.08</v>
      </c>
      <c r="J68" s="13" t="n">
        <f aca="false">IFERROR(F68*(1+I68)^H68,"")</f>
        <v>55853.21554466</v>
      </c>
    </row>
    <row r="69" customFormat="false" ht="15" hidden="false" customHeight="false" outlineLevel="0" collapsed="false">
      <c r="A69" s="6" t="s">
        <v>78</v>
      </c>
      <c r="B69" s="6" t="s">
        <v>79</v>
      </c>
      <c r="C69" s="7" t="s">
        <v>23</v>
      </c>
      <c r="D69" s="16" t="s">
        <v>18</v>
      </c>
      <c r="E69" s="9" t="n">
        <v>2016</v>
      </c>
      <c r="F69" s="10" t="n">
        <v>800000</v>
      </c>
      <c r="G69" s="9" t="n">
        <v>2022</v>
      </c>
      <c r="H69" s="11" t="n">
        <f aca="false">IF(AND(ISNUMBER(E69),ISNUMBER(G69)),G69-E69,"")</f>
        <v>6</v>
      </c>
      <c r="I69" s="12" t="n">
        <f aca="false">IFERROR(IF(D69="Vehicle",INDEX($N$4:$N$7,MATCH(C69,$M$4:$M$7,0)),INDEX($O$4:$O$7,MATCH(C69,$M$4:$M$7,0))),"")</f>
        <v>0.06</v>
      </c>
      <c r="J69" s="17" t="n">
        <f aca="false">IFERROR(F69*(1+I69)^H69,"")</f>
        <v>1134815.2898048</v>
      </c>
    </row>
    <row r="70" customFormat="false" ht="15" hidden="false" customHeight="false" outlineLevel="0" collapsed="false">
      <c r="A70" s="6" t="s">
        <v>80</v>
      </c>
      <c r="B70" s="6" t="s">
        <v>81</v>
      </c>
      <c r="C70" s="7" t="s">
        <v>23</v>
      </c>
      <c r="D70" s="8" t="s">
        <v>17</v>
      </c>
      <c r="E70" s="9" t="n">
        <v>2026</v>
      </c>
      <c r="F70" s="10" t="n">
        <v>80164</v>
      </c>
      <c r="G70" s="22" t="n">
        <v>2022</v>
      </c>
      <c r="H70" s="11" t="n">
        <f aca="false">IF(AND(ISNUMBER(E70),ISNUMBER(G70)),G70-E70,"")</f>
        <v>-4</v>
      </c>
      <c r="I70" s="12" t="n">
        <f aca="false">IFERROR(IF(D70="Vehicle",INDEX($N$4:$N$7,MATCH(C70,$M$4:$M$7,0)),INDEX($O$4:$O$7,MATCH(C70,$M$4:$M$7,0))),"")</f>
        <v>0.08</v>
      </c>
      <c r="J70" s="13" t="n">
        <f aca="false">IFERROR(F70*(1+I70)^H70,"")</f>
        <v>58922.9331195749</v>
      </c>
    </row>
    <row r="71" customFormat="false" ht="15" hidden="false" customHeight="false" outlineLevel="0" collapsed="false">
      <c r="A71" s="6" t="s">
        <v>80</v>
      </c>
      <c r="B71" s="6" t="s">
        <v>81</v>
      </c>
      <c r="C71" s="7" t="s">
        <v>23</v>
      </c>
      <c r="D71" s="16" t="s">
        <v>18</v>
      </c>
      <c r="E71" s="9" t="n">
        <v>2026</v>
      </c>
      <c r="F71" s="10" t="n">
        <v>6000</v>
      </c>
      <c r="G71" s="9" t="n">
        <v>2022</v>
      </c>
      <c r="H71" s="11" t="n">
        <f aca="false">IF(AND(ISNUMBER(E71),ISNUMBER(G71)),G71-E71,"")</f>
        <v>-4</v>
      </c>
      <c r="I71" s="12" t="n">
        <f aca="false">IFERROR(IF(D71="Vehicle",INDEX($N$4:$N$7,MATCH(C71,$M$4:$M$7,0)),INDEX($O$4:$O$7,MATCH(C71,$M$4:$M$7,0))),"")</f>
        <v>0.06</v>
      </c>
      <c r="J71" s="17" t="n">
        <f aca="false">IFERROR(F71*(1+I71)^H71,"")</f>
        <v>4752.56197942812</v>
      </c>
    </row>
    <row r="72" customFormat="false" ht="15" hidden="false" customHeight="false" outlineLevel="0" collapsed="false">
      <c r="A72" s="23"/>
      <c r="B72" s="23"/>
      <c r="C72" s="23"/>
      <c r="D72" s="16" t="s">
        <v>17</v>
      </c>
      <c r="E72" s="23"/>
      <c r="F72" s="23"/>
      <c r="G72" s="23"/>
      <c r="H72" s="11" t="str">
        <f aca="false">IF(AND(ISNUMBER(E72),ISNUMBER(G72)),G72-E72,"")</f>
        <v/>
      </c>
      <c r="I72" s="12" t="str">
        <f aca="false">IFERROR(IF(D72="Vehicle",INDEX($N$4:$N$7,MATCH(C72,$M$4:$M$7,0)),INDEX($O$4:$O$7,MATCH(C72,$M$4:$M$7,0))),"")</f>
        <v/>
      </c>
      <c r="J72" s="13" t="str">
        <f aca="false">IFERROR(F72*(1+I72)^H72,"")</f>
        <v/>
      </c>
    </row>
    <row r="73" customFormat="false" ht="15" hidden="false" customHeight="false" outlineLevel="0" collapsed="false">
      <c r="A73" s="23"/>
      <c r="B73" s="23"/>
      <c r="C73" s="23"/>
      <c r="D73" s="16" t="s">
        <v>18</v>
      </c>
      <c r="E73" s="23"/>
      <c r="F73" s="23"/>
      <c r="G73" s="23"/>
      <c r="H73" s="11" t="str">
        <f aca="false">IF(AND(ISNUMBER(E73),ISNUMBER(G73)),G73-E73,"")</f>
        <v/>
      </c>
      <c r="I73" s="12" t="str">
        <f aca="false">IFERROR(IF(D73="Vehicle",INDEX($N$4:$N$7,MATCH(C73,$M$4:$M$7,0)),INDEX($O$4:$O$7,MATCH(C73,$M$4:$M$7,0))),"")</f>
        <v/>
      </c>
      <c r="J73" s="17" t="str">
        <f aca="false">IFERROR(F73*(1+I73)^H73,"")</f>
        <v/>
      </c>
    </row>
    <row r="74" customFormat="false" ht="15" hidden="false" customHeight="false" outlineLevel="0" collapsed="false">
      <c r="A74" s="23"/>
      <c r="B74" s="23"/>
      <c r="C74" s="23"/>
      <c r="D74" s="16" t="s">
        <v>17</v>
      </c>
      <c r="E74" s="23"/>
      <c r="F74" s="23"/>
      <c r="G74" s="23"/>
      <c r="H74" s="11" t="str">
        <f aca="false">IF(AND(ISNUMBER(E74),ISNUMBER(G74)),G74-E74,"")</f>
        <v/>
      </c>
      <c r="I74" s="12" t="str">
        <f aca="false">IFERROR(IF(D74="Vehicle",INDEX($N$4:$N$7,MATCH(C74,$M$4:$M$7,0)),INDEX($O$4:$O$7,MATCH(C74,$M$4:$M$7,0))),"")</f>
        <v/>
      </c>
      <c r="J74" s="13" t="str">
        <f aca="false">IFERROR(F74*(1+I74)^H74,"")</f>
        <v/>
      </c>
    </row>
    <row r="75" customFormat="false" ht="15" hidden="false" customHeight="false" outlineLevel="0" collapsed="false">
      <c r="A75" s="23"/>
      <c r="B75" s="23"/>
      <c r="C75" s="23"/>
      <c r="D75" s="16" t="s">
        <v>18</v>
      </c>
      <c r="E75" s="23"/>
      <c r="F75" s="23"/>
      <c r="G75" s="23"/>
      <c r="H75" s="11" t="str">
        <f aca="false">IF(AND(ISNUMBER(E75),ISNUMBER(G75)),G75-E75,"")</f>
        <v/>
      </c>
      <c r="I75" s="12" t="str">
        <f aca="false">IFERROR(IF(D75="Vehicle",INDEX($N$4:$N$7,MATCH(C75,$M$4:$M$7,0)),INDEX($O$4:$O$7,MATCH(C75,$M$4:$M$7,0))),"")</f>
        <v/>
      </c>
      <c r="J75" s="17" t="str">
        <f aca="false">IFERROR(F75*(1+I75)^H75,"")</f>
        <v/>
      </c>
    </row>
    <row r="76" customFormat="false" ht="15" hidden="false" customHeight="false" outlineLevel="0" collapsed="false">
      <c r="A76" s="23"/>
      <c r="B76" s="23"/>
      <c r="C76" s="23"/>
      <c r="D76" s="16" t="s">
        <v>17</v>
      </c>
      <c r="E76" s="23"/>
      <c r="F76" s="23"/>
      <c r="G76" s="23"/>
      <c r="H76" s="11" t="str">
        <f aca="false">IF(AND(ISNUMBER(E76),ISNUMBER(G76)),G76-E76,"")</f>
        <v/>
      </c>
      <c r="I76" s="12" t="str">
        <f aca="false">IFERROR(IF(D76="Vehicle",INDEX($N$4:$N$7,MATCH(C76,$M$4:$M$7,0)),INDEX($O$4:$O$7,MATCH(C76,$M$4:$M$7,0))),"")</f>
        <v/>
      </c>
      <c r="J76" s="13" t="str">
        <f aca="false">IFERROR(F76*(1+I76)^H76,"")</f>
        <v/>
      </c>
    </row>
    <row r="77" customFormat="false" ht="15" hidden="false" customHeight="false" outlineLevel="0" collapsed="false">
      <c r="A77" s="23"/>
      <c r="B77" s="23"/>
      <c r="C77" s="23"/>
      <c r="D77" s="16" t="s">
        <v>18</v>
      </c>
      <c r="E77" s="23"/>
      <c r="F77" s="23"/>
      <c r="G77" s="23"/>
      <c r="H77" s="11" t="str">
        <f aca="false">IF(AND(ISNUMBER(E77),ISNUMBER(G77)),G77-E77,"")</f>
        <v/>
      </c>
      <c r="I77" s="12" t="str">
        <f aca="false">IFERROR(IF(D77="Vehicle",INDEX($N$4:$N$7,MATCH(C77,$M$4:$M$7,0)),INDEX($O$4:$O$7,MATCH(C77,$M$4:$M$7,0))),"")</f>
        <v/>
      </c>
      <c r="J77" s="17" t="str">
        <f aca="false">IFERROR(F77*(1+I77)^H77,"")</f>
        <v/>
      </c>
    </row>
    <row r="78" customFormat="false" ht="15" hidden="false" customHeight="false" outlineLevel="0" collapsed="false">
      <c r="A78" s="23"/>
      <c r="B78" s="23"/>
      <c r="C78" s="23"/>
      <c r="D78" s="16" t="s">
        <v>17</v>
      </c>
      <c r="E78" s="23"/>
      <c r="F78" s="23"/>
      <c r="G78" s="23"/>
      <c r="H78" s="11" t="str">
        <f aca="false">IF(AND(ISNUMBER(E78),ISNUMBER(G78)),G78-E78,"")</f>
        <v/>
      </c>
      <c r="I78" s="12" t="str">
        <f aca="false">IFERROR(IF(D78="Vehicle",INDEX($N$4:$N$7,MATCH(C78,$M$4:$M$7,0)),INDEX($O$4:$O$7,MATCH(C78,$M$4:$M$7,0))),"")</f>
        <v/>
      </c>
      <c r="J78" s="13" t="str">
        <f aca="false">IFERROR(F78*(1+I78)^H78,"")</f>
        <v/>
      </c>
    </row>
    <row r="79" customFormat="false" ht="15" hidden="false" customHeight="false" outlineLevel="0" collapsed="false">
      <c r="A79" s="23"/>
      <c r="B79" s="23"/>
      <c r="C79" s="23"/>
      <c r="D79" s="16" t="s">
        <v>18</v>
      </c>
      <c r="E79" s="23"/>
      <c r="F79" s="23"/>
      <c r="G79" s="23"/>
      <c r="H79" s="11" t="str">
        <f aca="false">IF(AND(ISNUMBER(E79),ISNUMBER(G79)),G79-E79,"")</f>
        <v/>
      </c>
      <c r="I79" s="12" t="str">
        <f aca="false">IFERROR(IF(D79="Vehicle",INDEX($N$4:$N$7,MATCH(C79,$M$4:$M$7,0)),INDEX($O$4:$O$7,MATCH(C79,$M$4:$M$7,0))),"")</f>
        <v/>
      </c>
      <c r="J79" s="17" t="str">
        <f aca="false">IFERROR(F79*(1+I79)^H79,"")</f>
        <v/>
      </c>
    </row>
    <row r="80" customFormat="false" ht="15" hidden="false" customHeight="false" outlineLevel="0" collapsed="false">
      <c r="A80" s="23"/>
      <c r="B80" s="23"/>
      <c r="C80" s="23"/>
      <c r="D80" s="16" t="s">
        <v>17</v>
      </c>
      <c r="E80" s="23"/>
      <c r="F80" s="23"/>
      <c r="G80" s="23"/>
      <c r="H80" s="11" t="str">
        <f aca="false">IF(AND(ISNUMBER(E80),ISNUMBER(G80)),G80-E80,"")</f>
        <v/>
      </c>
      <c r="I80" s="12" t="str">
        <f aca="false">IFERROR(IF(D80="Vehicle",INDEX($N$4:$N$7,MATCH(C80,$M$4:$M$7,0)),INDEX($O$4:$O$7,MATCH(C80,$M$4:$M$7,0))),"")</f>
        <v/>
      </c>
      <c r="J80" s="13" t="str">
        <f aca="false">IFERROR(F80*(1+I80)^H80,"")</f>
        <v/>
      </c>
    </row>
    <row r="81" customFormat="false" ht="15" hidden="false" customHeight="false" outlineLevel="0" collapsed="false">
      <c r="A81" s="23"/>
      <c r="B81" s="23"/>
      <c r="C81" s="23"/>
      <c r="D81" s="16" t="s">
        <v>18</v>
      </c>
      <c r="E81" s="23"/>
      <c r="F81" s="23"/>
      <c r="G81" s="23"/>
      <c r="H81" s="11" t="str">
        <f aca="false">IF(AND(ISNUMBER(E81),ISNUMBER(G81)),G81-E81,"")</f>
        <v/>
      </c>
      <c r="I81" s="12" t="str">
        <f aca="false">IFERROR(IF(D81="Vehicle",INDEX($N$4:$N$7,MATCH(C81,$M$4:$M$7,0)),INDEX($O$4:$O$7,MATCH(C81,$M$4:$M$7,0))),"")</f>
        <v/>
      </c>
      <c r="J81" s="17" t="str">
        <f aca="false">IFERROR(F81*(1+I81)^H81,"")</f>
        <v/>
      </c>
    </row>
    <row r="82" customFormat="false" ht="15" hidden="false" customHeight="false" outlineLevel="0" collapsed="false">
      <c r="A82" s="23"/>
      <c r="B82" s="23"/>
      <c r="C82" s="23"/>
      <c r="D82" s="16" t="s">
        <v>17</v>
      </c>
      <c r="E82" s="23"/>
      <c r="F82" s="23"/>
      <c r="G82" s="23"/>
      <c r="H82" s="11" t="str">
        <f aca="false">IF(AND(ISNUMBER(E82),ISNUMBER(G82)),G82-E82,"")</f>
        <v/>
      </c>
      <c r="I82" s="12" t="str">
        <f aca="false">IFERROR(IF(D82="Vehicle",INDEX($N$4:$N$7,MATCH(C82,$M$4:$M$7,0)),INDEX($O$4:$O$7,MATCH(C82,$M$4:$M$7,0))),"")</f>
        <v/>
      </c>
      <c r="J82" s="13" t="str">
        <f aca="false">IFERROR(F82*(1+I82)^H82,"")</f>
        <v/>
      </c>
    </row>
    <row r="83" customFormat="false" ht="15" hidden="false" customHeight="false" outlineLevel="0" collapsed="false">
      <c r="A83" s="23"/>
      <c r="B83" s="23"/>
      <c r="C83" s="23"/>
      <c r="D83" s="16" t="s">
        <v>18</v>
      </c>
      <c r="E83" s="23"/>
      <c r="F83" s="23"/>
      <c r="G83" s="23"/>
      <c r="H83" s="11" t="str">
        <f aca="false">IF(AND(ISNUMBER(E83),ISNUMBER(G83)),G83-E83,"")</f>
        <v/>
      </c>
      <c r="I83" s="12" t="str">
        <f aca="false">IFERROR(IF(D83="Vehicle",INDEX($N$4:$N$7,MATCH(C83,$M$4:$M$7,0)),INDEX($O$4:$O$7,MATCH(C83,$M$4:$M$7,0))),"")</f>
        <v/>
      </c>
      <c r="J83" s="17" t="str">
        <f aca="false">IFERROR(F83*(1+I83)^H83,"")</f>
        <v/>
      </c>
    </row>
  </sheetData>
  <mergeCells count="2">
    <mergeCell ref="A2:J2"/>
    <mergeCell ref="M2:O2"/>
  </mergeCells>
  <conditionalFormatting sqref="C4:C83">
    <cfRule type="cellIs" priority="2" operator="equal" aboveAverage="0" equalAverage="0" bottom="0" percent="0" rank="0" text="" dxfId="9">
      <formula>"Engine"</formula>
    </cfRule>
    <cfRule type="cellIs" priority="3" operator="equal" aboveAverage="0" equalAverage="0" bottom="0" percent="0" rank="0" text="" dxfId="10">
      <formula>"Aerial"</formula>
    </cfRule>
    <cfRule type="cellIs" priority="4" operator="equal" aboveAverage="0" equalAverage="0" bottom="0" percent="0" rank="0" text="" dxfId="11">
      <formula>"Rescue"</formula>
    </cfRule>
    <cfRule type="cellIs" priority="5" operator="equal" aboveAverage="0" equalAverage="0" bottom="0" percent="0" rank="0" text="" dxfId="12">
      <formula>"Staff"</formula>
    </cfRule>
  </conditionalFormatting>
  <conditionalFormatting sqref="A4:J83">
    <cfRule type="expression" priority="6" aboveAverage="0" equalAverage="0" bottom="0" percent="0" rank="0" text="" dxfId="9">
      <formula>$C4="Engine"</formula>
    </cfRule>
    <cfRule type="expression" priority="7" aboveAverage="0" equalAverage="0" bottom="0" percent="0" rank="0" text="" dxfId="10">
      <formula>$C4="Aerial"</formula>
    </cfRule>
    <cfRule type="expression" priority="8" aboveAverage="0" equalAverage="0" bottom="0" percent="0" rank="0" text="" dxfId="11">
      <formula>$C4="Rescue"</formula>
    </cfRule>
    <cfRule type="expression" priority="9" aboveAverage="0" equalAverage="0" bottom="0" percent="0" rank="0" text="" dxfId="12">
      <formula>$C4="Staff"</formula>
    </cfRule>
  </conditionalFormatting>
  <dataValidations count="2">
    <dataValidation allowBlank="true" errorStyle="stop" operator="between" showDropDown="false" showErrorMessage="false" showInputMessage="false" sqref="C4:C83" type="list">
      <formula1>"Engine,Aerial,Rescue,Staff"</formula1>
      <formula2>0</formula2>
    </dataValidation>
    <dataValidation allowBlank="true" errorStyle="stop" operator="between" showDropDown="false" showErrorMessage="false" showInputMessage="false" sqref="D72:D83" type="list">
      <formula1>"Vehicle,Equipment"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2026-07-15T18:51:24Z</dcterms:created>
  <dc:creator>openpyxl</dc:creator>
  <dc:description/>
  <dc:language>en-US</dc:language>
  <cp:lastModifiedBy/>
  <dcterms:modified xsi:type="dcterms:W3CDTF">2026-07-15T18:51:24Z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